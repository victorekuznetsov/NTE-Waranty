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арк NTE (SAP)" sheetId="2" state="visible" r:id="rId2"/>
    <sheet name="Расчёт по месяц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 YYYY"/>
    <numFmt numFmtId="167" formatCode="ММ.ГГГГ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10"/>
    </font>
  </fonts>
  <fills count="1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2E75B6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C55A11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4B183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0" fillId="9" borderId="4" pivotButton="0" quotePrefix="0" xfId="0"/>
    <xf numFmtId="0" fontId="0" fillId="9" borderId="5" pivotButton="0" quotePrefix="0" xfId="0"/>
    <xf numFmtId="0" fontId="3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/>
    </xf>
    <xf numFmtId="0" fontId="0" fillId="16" borderId="4" pivotButton="0" quotePrefix="0" xfId="0"/>
    <xf numFmtId="0" fontId="0" fillId="16" borderId="5" pivotButton="0" quotePrefix="0" xfId="0"/>
    <xf numFmtId="0" fontId="3" fillId="16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6" borderId="1" pivotButton="0" quotePrefix="0" xfId="0"/>
    <xf numFmtId="165" fontId="4" fillId="0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3" fillId="9" borderId="1" pivotButton="0" quotePrefix="0" xfId="0"/>
    <xf numFmtId="0" fontId="0" fillId="9" borderId="1" pivotButton="0" quotePrefix="0" xfId="0"/>
    <xf numFmtId="0" fontId="3" fillId="9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9" borderId="0" pivotButton="0" quotePrefix="0" xfId="0"/>
    <xf numFmtId="0" fontId="3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Самосвалы NTE на гарантии по месяцам (по площадкам и всего)</a:t>
            </a:r>
          </a:p>
        </rich>
      </tx>
    </title>
    <plotArea>
      <lineChart>
        <grouping val="standard"/>
        <ser>
          <idx val="0"/>
          <order val="0"/>
          <tx>
            <strRef>
              <f>'Расчёт по месяцам'!E11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месяцам'!$A$12:$A$100</f>
            </numRef>
          </cat>
          <val>
            <numRef>
              <f>'Расчёт по месяцам'!$E$12:$E$100</f>
            </numRef>
          </val>
        </ser>
        <ser>
          <idx val="1"/>
          <order val="1"/>
          <tx>
            <strRef>
              <f>'Расчёт по месяцам'!F11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месяцам'!$A$12:$A$100</f>
            </numRef>
          </cat>
          <val>
            <numRef>
              <f>'Расчёт по месяцам'!$F$12:$F$100</f>
            </numRef>
          </val>
        </ser>
        <ser>
          <idx val="2"/>
          <order val="2"/>
          <tx>
            <strRef>
              <f>'Расчёт по месяцам'!G11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месяцам'!$A$12:$A$100</f>
            </numRef>
          </cat>
          <val>
            <numRef>
              <f>'Расчёт по месяцам'!$G$12:$G$100</f>
            </numRef>
          </val>
        </ser>
        <ser>
          <idx val="3"/>
          <order val="3"/>
          <tx>
            <strRef>
              <f>'Расчёт по месяцам'!H11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месяцам'!$A$12:$A$100</f>
            </numRef>
          </cat>
          <val>
            <numRef>
              <f>'Расчёт по месяцам'!$H$12:$H$100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Кол-во машин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Потребность в оборотных компонентах, шт</a:t>
            </a:r>
          </a:p>
        </rich>
      </tx>
    </title>
    <plotArea>
      <lineChart>
        <grouping val="standard"/>
        <ser>
          <idx val="0"/>
          <order val="0"/>
          <tx>
            <strRef>
              <f>'Расчёт по месяцам'!L11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месяцам'!$A$12:$A$100</f>
            </numRef>
          </cat>
          <val>
            <numRef>
              <f>'Расчёт по месяцам'!$L$12:$L$100</f>
            </numRef>
          </val>
        </ser>
        <ser>
          <idx val="1"/>
          <order val="1"/>
          <tx>
            <strRef>
              <f>'Расчёт по месяцам'!M11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месяцам'!$A$12:$A$100</f>
            </numRef>
          </cat>
          <val>
            <numRef>
              <f>'Расчёт по месяцам'!$M$12:$M$100</f>
            </numRef>
          </val>
        </ser>
        <ser>
          <idx val="2"/>
          <order val="2"/>
          <tx>
            <strRef>
              <f>'Расчёт по месяцам'!N11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месяцам'!$A$12:$A$100</f>
            </numRef>
          </cat>
          <val>
            <numRef>
              <f>'Расчёт по месяцам'!$N$12:$N$100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30</row>
      <rowOff>0</rowOff>
    </from>
    <ext cx="93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6" customWidth="1" min="4" max="4"/>
  </cols>
  <sheetData>
    <row r="1" ht="24" customHeight="1">
      <c r="A1" s="1" t="inlineStr">
        <is>
          <t>СВОДКА ПО ОБОРОТНОМУ ФОНДУ ГАРАНТИЙНЫХ КОМПОНЕНТОВ NTE (парк по SAP)</t>
        </is>
      </c>
    </row>
    <row r="3">
      <c r="A3" s="2" t="inlineStr">
        <is>
          <t>Парк по SAP</t>
        </is>
      </c>
    </row>
    <row r="4">
      <c r="A4" s="3" t="inlineStr">
        <is>
          <t>Всего электрических самосвалов NTE (SAP)</t>
        </is>
      </c>
      <c r="B4" s="4" t="n"/>
      <c r="C4" s="5" t="n"/>
      <c r="D4" s="6">
        <f>'Парк NTE (SAP)'!E272</f>
        <v>262</v>
      </c>
    </row>
    <row r="5">
      <c r="A5" s="7" t="inlineStr">
        <is>
          <t>в т.ч. Красноярск (NTE240)</t>
        </is>
      </c>
      <c r="B5" s="8" t="n"/>
      <c r="C5" s="9" t="n"/>
      <c r="D5" s="10">
        <f>COUNTIF('Парк NTE (SAP)'!$B$10:$B$271,"Полюс Красноярск")</f>
        <v>122</v>
      </c>
    </row>
    <row r="6">
      <c r="A6" s="7" t="inlineStr">
        <is>
          <t>в т.ч. Сухой Лог (NTE240)</t>
        </is>
      </c>
      <c r="B6" s="8" t="n"/>
      <c r="C6" s="9" t="n"/>
      <c r="D6" s="10">
        <f>COUNTIF('Парк NTE (SAP)'!$B$10:$B$271,"Полюс Сухой Лог")</f>
        <v>85</v>
      </c>
    </row>
    <row r="7">
      <c r="A7" s="7" t="inlineStr">
        <is>
          <t>в т.ч. Магадан (NTE200)</t>
        </is>
      </c>
      <c r="B7" s="8" t="n"/>
      <c r="C7" s="9" t="n"/>
      <c r="D7" s="10">
        <f>COUNTIF('Парк NTE (SAP)'!$B$10:$B$271,"Полюс Магадан")</f>
        <v>55</v>
      </c>
    </row>
    <row r="8">
      <c r="A8" s="7" t="inlineStr">
        <is>
          <t>из них плановые вводы (без серийного №)</t>
        </is>
      </c>
      <c r="B8" s="8" t="n"/>
      <c r="C8" s="9" t="n"/>
      <c r="D8" s="10">
        <f>COUNTIF('Парк NTE (SAP)'!$F$10:$F$271,"план")</f>
        <v>132</v>
      </c>
    </row>
    <row r="10">
      <c r="A10" s="2" t="inlineStr">
        <is>
          <t>Пиковая одновременная гарантия и потребность</t>
        </is>
      </c>
    </row>
    <row r="11">
      <c r="A11" s="3" t="inlineStr">
        <is>
          <t>Пик машин на гарантии (одновременно)</t>
        </is>
      </c>
      <c r="B11" s="4" t="n"/>
      <c r="C11" s="5" t="n"/>
      <c r="D11" s="6">
        <f>MAX('Расчёт по месяцам'!H12:H100)</f>
        <v>106</v>
      </c>
    </row>
    <row r="12">
      <c r="A12" s="7" t="inlineStr">
        <is>
          <t>Месяц пика</t>
        </is>
      </c>
      <c r="B12" s="8" t="n"/>
      <c r="C12" s="9" t="n"/>
      <c r="D12" s="10" t="str">
        <f>TEXT(INDEX('Расчёт по месяцам'!A12:A100,MATCH(MAX('Расчёт по месяцам'!H12:H100),'Расчёт по месяцам'!H12:H100,0)),"ММ.ГГГГ")</f>
        <v>10.2027</v>
      </c>
    </row>
    <row r="13">
      <c r="A13" s="11" t="inlineStr">
        <is>
          <t>Пик потребности: ДВС, шт</t>
        </is>
      </c>
      <c r="B13" s="12" t="n"/>
      <c r="C13" s="13" t="n"/>
      <c r="D13" s="14">
        <f>MAX('Расчёт по месяцам'!L12:L100)</f>
        <v>12</v>
      </c>
    </row>
    <row r="14">
      <c r="A14" s="11" t="inlineStr">
        <is>
          <t>Пик потребности: Мотор-колёса, шт</t>
        </is>
      </c>
      <c r="B14" s="12" t="n"/>
      <c r="C14" s="13" t="n"/>
      <c r="D14" s="14">
        <f>MAX('Расчёт по месяцам'!M12:M100)</f>
        <v>24</v>
      </c>
    </row>
    <row r="15">
      <c r="A15" s="11" t="inlineStr">
        <is>
          <t>Пик потребности: Силовой генератор, шт</t>
        </is>
      </c>
      <c r="B15" s="12" t="n"/>
      <c r="C15" s="13" t="n"/>
      <c r="D15" s="14">
        <f>MAX('Расчёт по месяцам'!N12:N100)</f>
        <v>12</v>
      </c>
    </row>
    <row r="17">
      <c r="A17" s="2" t="inlineStr">
        <is>
          <t>Текущий месяц</t>
        </is>
      </c>
    </row>
    <row r="18">
      <c r="A18" s="7" t="inlineStr">
        <is>
          <t>Расчётный месяц (1-е число)</t>
        </is>
      </c>
      <c r="B18" s="8" t="n"/>
      <c r="C18" s="9" t="n"/>
      <c r="D18" s="15">
        <f>DATE(YEAR(TODAY()),MONTH(TODAY()),1)</f>
        <v>46204</v>
      </c>
    </row>
    <row r="19">
      <c r="A19" s="3" t="inlineStr">
        <is>
          <t>Машин на гарантии (текущий месяц)</t>
        </is>
      </c>
      <c r="B19" s="4" t="n"/>
      <c r="C19" s="5" t="n"/>
      <c r="D19" s="6">
        <f>INDEX('Расчёт по месяцам'!H12:H100,MATCH($D$18,'Расчёт по месяцам'!A12:A100,0))</f>
        <v>62</v>
      </c>
    </row>
    <row r="20">
      <c r="A20" s="16" t="inlineStr">
        <is>
          <t>ДВС требуется (текущий месяц), шт</t>
        </is>
      </c>
      <c r="B20" s="8" t="n"/>
      <c r="C20" s="9" t="n"/>
      <c r="D20" s="17">
        <f>INDEX('Расчёт по месяцам'!L12:L100,MATCH($D$18,'Расчёт по месяцам'!A12:A100,0))</f>
        <v>8</v>
      </c>
    </row>
    <row r="21">
      <c r="A21" s="16" t="inlineStr">
        <is>
          <t>Мотор-колёса требуется (текущий месяц), шт</t>
        </is>
      </c>
      <c r="B21" s="8" t="n"/>
      <c r="C21" s="9" t="n"/>
      <c r="D21" s="17">
        <f>INDEX('Расчёт по месяцам'!M12:M100,MATCH($D$18,'Расчёт по месяцам'!A12:A100,0))</f>
        <v>16</v>
      </c>
    </row>
    <row r="22">
      <c r="A22" s="16" t="inlineStr">
        <is>
          <t>Силовой генератор требуется (текущий месяц), шт</t>
        </is>
      </c>
      <c r="B22" s="8" t="n"/>
      <c r="C22" s="9" t="n"/>
      <c r="D22" s="17">
        <f>INDEX('Расчёт по месяцам'!N12:N100,MATCH($D$18,'Расчёт по месяцам'!A12:A100,0))</f>
        <v>8</v>
      </c>
    </row>
  </sheetData>
  <mergeCells count="19">
    <mergeCell ref="A17:D17"/>
    <mergeCell ref="A18:C18"/>
    <mergeCell ref="A21:C21"/>
    <mergeCell ref="A12:C12"/>
    <mergeCell ref="A10:D10"/>
    <mergeCell ref="A5:C5"/>
    <mergeCell ref="A8:C8"/>
    <mergeCell ref="A14:C14"/>
    <mergeCell ref="A22:C22"/>
    <mergeCell ref="A4:C4"/>
    <mergeCell ref="A20:C20"/>
    <mergeCell ref="A1:D1"/>
    <mergeCell ref="A13:C13"/>
    <mergeCell ref="A19:C19"/>
    <mergeCell ref="A15:C15"/>
    <mergeCell ref="A11:C11"/>
    <mergeCell ref="A3:D3"/>
    <mergeCell ref="A6:C6"/>
    <mergeCell ref="A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20" customWidth="1" min="4" max="4"/>
    <col width="10" customWidth="1" min="5" max="5"/>
    <col width="8" customWidth="1" min="6" max="6"/>
    <col width="18" customWidth="1" min="7" max="7"/>
    <col width="14" customWidth="1" min="8" max="8"/>
    <col width="18" customWidth="1" min="9" max="9"/>
  </cols>
  <sheetData>
    <row r="1" ht="24" customHeight="1">
      <c r="A1" s="1" t="inlineStr">
        <is>
          <t>ПАРК ЭЛЕКТРИЧЕСКИХ САМОСВАЛОВ NHL NTE — ПОЛНЫЙ СОСТАВ ПО ДАННЫМ SAP</t>
        </is>
      </c>
    </row>
    <row r="2" ht="58" customHeight="1">
      <c r="A2" s="18" t="inlineStr">
        <is>
          <t>Источник состава и дат ввода — выгрузка SAP «Расчет гарантийных машин по годам с учетом ввода». Учтены все электрические самосвалы NTE (NTE240 Красноярск и Сухой Лог, NTE200 Магадан), имеющие мотор-колёса, ДВС и силовой генератор. Механические TR100A (Allison) исключены. В SAP нет даты окончания гарантии — она рассчитывается из даты ввода по правилу срока гарантии (см. параметры). Строки без серийного № — плановые вводы.</t>
        </is>
      </c>
    </row>
    <row r="4">
      <c r="A4" s="19" t="inlineStr">
        <is>
          <t>ПАРАМЕТРЫ СРОКА ГАРАНТИИ (жёлтые ячейки — редактируемые)</t>
        </is>
      </c>
    </row>
    <row r="5">
      <c r="A5" s="20" t="inlineStr">
        <is>
          <t>Дата смены срока гарантии (с этой даты — увеличенный срок)</t>
        </is>
      </c>
      <c r="D5" s="21" t="n">
        <v>45934</v>
      </c>
    </row>
    <row r="6">
      <c r="A6" s="20" t="inlineStr">
        <is>
          <t>Срок гарантии до даты смены, мес</t>
        </is>
      </c>
      <c r="D6" s="22" t="n">
        <v>12</v>
      </c>
    </row>
    <row r="7">
      <c r="A7" s="20" t="inlineStr">
        <is>
          <t>Срок гарантии с даты смены, мес</t>
        </is>
      </c>
      <c r="D7" s="22" t="n">
        <v>24</v>
      </c>
    </row>
    <row r="9">
      <c r="A9" s="23" t="inlineStr">
        <is>
          <t>№</t>
        </is>
      </c>
      <c r="B9" s="23" t="inlineStr">
        <is>
          <t>Площадка</t>
        </is>
      </c>
      <c r="C9" s="23" t="inlineStr">
        <is>
          <t>Модель</t>
        </is>
      </c>
      <c r="D9" s="23" t="inlineStr">
        <is>
          <t>Серийный №</t>
        </is>
      </c>
      <c r="E9" s="23" t="inlineStr">
        <is>
          <t>Гараж. №</t>
        </is>
      </c>
      <c r="F9" s="23" t="inlineStr">
        <is>
          <t>Статус</t>
        </is>
      </c>
      <c r="G9" s="23" t="inlineStr">
        <is>
          <t>Дата ввода в эксплуатацию</t>
        </is>
      </c>
      <c r="H9" s="23" t="inlineStr">
        <is>
          <t>Срок гарантии, мес</t>
        </is>
      </c>
      <c r="I9" s="23" t="inlineStr">
        <is>
          <t>Дата окончания гарантии</t>
        </is>
      </c>
    </row>
    <row r="10">
      <c r="A10" s="24" t="n">
        <v>1</v>
      </c>
      <c r="B10" s="25" t="inlineStr">
        <is>
          <t>Полюс Красноярск</t>
        </is>
      </c>
      <c r="C10" s="24" t="inlineStr">
        <is>
          <t>NTE240</t>
        </is>
      </c>
      <c r="D10" s="24" t="inlineStr">
        <is>
          <t>NHLTBABAVPB200021</t>
        </is>
      </c>
      <c r="E10" s="24" t="inlineStr">
        <is>
          <t>201</t>
        </is>
      </c>
      <c r="F10" s="24" t="inlineStr">
        <is>
          <t>факт</t>
        </is>
      </c>
      <c r="G10" s="26" t="n">
        <v>45341</v>
      </c>
      <c r="H10" s="10">
        <f>IF(G10&lt;$D$5,$D$6,$D$7)</f>
        <v>12</v>
      </c>
      <c r="I10" s="26">
        <f>EDATE(G10,H10)</f>
        <v>45707</v>
      </c>
    </row>
    <row r="11">
      <c r="A11" s="24" t="n">
        <v>2</v>
      </c>
      <c r="B11" s="25" t="inlineStr">
        <is>
          <t>Полюс Красноярск</t>
        </is>
      </c>
      <c r="C11" s="24" t="inlineStr">
        <is>
          <t>NTE240</t>
        </is>
      </c>
      <c r="D11" s="24" t="inlineStr">
        <is>
          <t>NHLTBABACPB200026</t>
        </is>
      </c>
      <c r="E11" s="24" t="inlineStr">
        <is>
          <t>202</t>
        </is>
      </c>
      <c r="F11" s="24" t="inlineStr">
        <is>
          <t>факт</t>
        </is>
      </c>
      <c r="G11" s="26" t="n">
        <v>45347</v>
      </c>
      <c r="H11" s="10">
        <f>IF(G11&lt;$D$5,$D$6,$D$7)</f>
        <v>12</v>
      </c>
      <c r="I11" s="26">
        <f>EDATE(G11,H11)</f>
        <v>45713</v>
      </c>
    </row>
    <row r="12">
      <c r="A12" s="24" t="n">
        <v>3</v>
      </c>
      <c r="B12" s="25" t="inlineStr">
        <is>
          <t>Полюс Красноярск</t>
        </is>
      </c>
      <c r="C12" s="24" t="inlineStr">
        <is>
          <t>NTE240</t>
        </is>
      </c>
      <c r="D12" s="24" t="inlineStr">
        <is>
          <t>NHLTBABACPB200017</t>
        </is>
      </c>
      <c r="E12" s="24" t="inlineStr">
        <is>
          <t>203</t>
        </is>
      </c>
      <c r="F12" s="24" t="inlineStr">
        <is>
          <t>факт</t>
        </is>
      </c>
      <c r="G12" s="26" t="n">
        <v>45355</v>
      </c>
      <c r="H12" s="10">
        <f>IF(G12&lt;$D$5,$D$6,$D$7)</f>
        <v>12</v>
      </c>
      <c r="I12" s="26">
        <f>EDATE(G12,H12)</f>
        <v>45720</v>
      </c>
    </row>
    <row r="13">
      <c r="A13" s="24" t="n">
        <v>4</v>
      </c>
      <c r="B13" s="25" t="inlineStr">
        <is>
          <t>Полюс Красноярск</t>
        </is>
      </c>
      <c r="C13" s="24" t="inlineStr">
        <is>
          <t>NTE240</t>
        </is>
      </c>
      <c r="D13" s="24" t="inlineStr">
        <is>
          <t>NHLTBABAAPB200022</t>
        </is>
      </c>
      <c r="E13" s="24" t="inlineStr">
        <is>
          <t>204</t>
        </is>
      </c>
      <c r="F13" s="24" t="inlineStr">
        <is>
          <t>факт</t>
        </is>
      </c>
      <c r="G13" s="26" t="n">
        <v>45362</v>
      </c>
      <c r="H13" s="10">
        <f>IF(G13&lt;$D$5,$D$6,$D$7)</f>
        <v>12</v>
      </c>
      <c r="I13" s="26">
        <f>EDATE(G13,H13)</f>
        <v>45727</v>
      </c>
    </row>
    <row r="14">
      <c r="A14" s="24" t="n">
        <v>5</v>
      </c>
      <c r="B14" s="25" t="inlineStr">
        <is>
          <t>Полюс Красноярск</t>
        </is>
      </c>
      <c r="C14" s="24" t="inlineStr">
        <is>
          <t>NTE240</t>
        </is>
      </c>
      <c r="D14" s="24" t="inlineStr">
        <is>
          <t>NHLTBABAKPB200015</t>
        </is>
      </c>
      <c r="E14" s="24" t="inlineStr">
        <is>
          <t>205</t>
        </is>
      </c>
      <c r="F14" s="24" t="inlineStr">
        <is>
          <t>факт</t>
        </is>
      </c>
      <c r="G14" s="26" t="n">
        <v>45369</v>
      </c>
      <c r="H14" s="10">
        <f>IF(G14&lt;$D$5,$D$6,$D$7)</f>
        <v>12</v>
      </c>
      <c r="I14" s="26">
        <f>EDATE(G14,H14)</f>
        <v>45734</v>
      </c>
    </row>
    <row r="15">
      <c r="A15" s="24" t="n">
        <v>6</v>
      </c>
      <c r="B15" s="25" t="inlineStr">
        <is>
          <t>Полюс Красноярск</t>
        </is>
      </c>
      <c r="C15" s="24" t="inlineStr">
        <is>
          <t>NTE240</t>
        </is>
      </c>
      <c r="D15" s="24" t="inlineStr">
        <is>
          <t>NHLTBABACPB200020</t>
        </is>
      </c>
      <c r="E15" s="24" t="inlineStr">
        <is>
          <t>206</t>
        </is>
      </c>
      <c r="F15" s="24" t="inlineStr">
        <is>
          <t>факт</t>
        </is>
      </c>
      <c r="G15" s="26" t="n">
        <v>45376</v>
      </c>
      <c r="H15" s="10">
        <f>IF(G15&lt;$D$5,$D$6,$D$7)</f>
        <v>12</v>
      </c>
      <c r="I15" s="26">
        <f>EDATE(G15,H15)</f>
        <v>45741</v>
      </c>
    </row>
    <row r="16">
      <c r="A16" s="24" t="n">
        <v>7</v>
      </c>
      <c r="B16" s="25" t="inlineStr">
        <is>
          <t>Полюс Красноярск</t>
        </is>
      </c>
      <c r="C16" s="24" t="inlineStr">
        <is>
          <t>NTE240</t>
        </is>
      </c>
      <c r="D16" s="24" t="inlineStr">
        <is>
          <t>NHLTBABAEPB200025</t>
        </is>
      </c>
      <c r="E16" s="24" t="inlineStr">
        <is>
          <t>208</t>
        </is>
      </c>
      <c r="F16" s="24" t="inlineStr">
        <is>
          <t>факт</t>
        </is>
      </c>
      <c r="G16" s="26" t="n">
        <v>45380</v>
      </c>
      <c r="H16" s="10">
        <f>IF(G16&lt;$D$5,$D$6,$D$7)</f>
        <v>12</v>
      </c>
      <c r="I16" s="26">
        <f>EDATE(G16,H16)</f>
        <v>45745</v>
      </c>
    </row>
    <row r="17">
      <c r="A17" s="24" t="n">
        <v>8</v>
      </c>
      <c r="B17" s="25" t="inlineStr">
        <is>
          <t>Полюс Красноярск</t>
        </is>
      </c>
      <c r="C17" s="24" t="inlineStr">
        <is>
          <t>NTE240</t>
        </is>
      </c>
      <c r="D17" s="24" t="inlineStr">
        <is>
          <t>NHLTBABAHPB200024</t>
        </is>
      </c>
      <c r="E17" s="24" t="inlineStr">
        <is>
          <t>209</t>
        </is>
      </c>
      <c r="F17" s="24" t="inlineStr">
        <is>
          <t>факт</t>
        </is>
      </c>
      <c r="G17" s="26" t="n">
        <v>45383</v>
      </c>
      <c r="H17" s="10">
        <f>IF(G17&lt;$D$5,$D$6,$D$7)</f>
        <v>12</v>
      </c>
      <c r="I17" s="26">
        <f>EDATE(G17,H17)</f>
        <v>45748</v>
      </c>
    </row>
    <row r="18">
      <c r="A18" s="24" t="n">
        <v>9</v>
      </c>
      <c r="B18" s="25" t="inlineStr">
        <is>
          <t>Полюс Красноярск</t>
        </is>
      </c>
      <c r="C18" s="24" t="inlineStr">
        <is>
          <t>NTE240</t>
        </is>
      </c>
      <c r="D18" s="24" t="inlineStr">
        <is>
          <t>NHLTBABAKPB200032</t>
        </is>
      </c>
      <c r="E18" s="24" t="inlineStr">
        <is>
          <t>207</t>
        </is>
      </c>
      <c r="F18" s="24" t="inlineStr">
        <is>
          <t>факт</t>
        </is>
      </c>
      <c r="G18" s="26" t="n">
        <v>45389</v>
      </c>
      <c r="H18" s="10">
        <f>IF(G18&lt;$D$5,$D$6,$D$7)</f>
        <v>12</v>
      </c>
      <c r="I18" s="26">
        <f>EDATE(G18,H18)</f>
        <v>45754</v>
      </c>
    </row>
    <row r="19">
      <c r="A19" s="24" t="n">
        <v>10</v>
      </c>
      <c r="B19" s="25" t="inlineStr">
        <is>
          <t>Полюс Красноярск</t>
        </is>
      </c>
      <c r="C19" s="24" t="inlineStr">
        <is>
          <t>NTE240</t>
        </is>
      </c>
      <c r="D19" s="24" t="inlineStr">
        <is>
          <t>NHLTBABALPB200023</t>
        </is>
      </c>
      <c r="E19" s="24" t="inlineStr">
        <is>
          <t>210</t>
        </is>
      </c>
      <c r="F19" s="24" t="inlineStr">
        <is>
          <t>факт</t>
        </is>
      </c>
      <c r="G19" s="26" t="n">
        <v>45393</v>
      </c>
      <c r="H19" s="10">
        <f>IF(G19&lt;$D$5,$D$6,$D$7)</f>
        <v>12</v>
      </c>
      <c r="I19" s="26">
        <f>EDATE(G19,H19)</f>
        <v>45758</v>
      </c>
    </row>
    <row r="20">
      <c r="A20" s="24" t="n">
        <v>11</v>
      </c>
      <c r="B20" s="25" t="inlineStr">
        <is>
          <t>Полюс Красноярск</t>
        </is>
      </c>
      <c r="C20" s="24" t="inlineStr">
        <is>
          <t>NTE240</t>
        </is>
      </c>
      <c r="D20" s="24" t="inlineStr">
        <is>
          <t>NHLTBABAAPB200019</t>
        </is>
      </c>
      <c r="E20" s="24" t="inlineStr">
        <is>
          <t>211</t>
        </is>
      </c>
      <c r="F20" s="24" t="inlineStr">
        <is>
          <t>факт</t>
        </is>
      </c>
      <c r="G20" s="26" t="n">
        <v>45398</v>
      </c>
      <c r="H20" s="10">
        <f>IF(G20&lt;$D$5,$D$6,$D$7)</f>
        <v>12</v>
      </c>
      <c r="I20" s="26">
        <f>EDATE(G20,H20)</f>
        <v>45763</v>
      </c>
    </row>
    <row r="21">
      <c r="A21" s="24" t="n">
        <v>12</v>
      </c>
      <c r="B21" s="25" t="inlineStr">
        <is>
          <t>Полюс Красноярск</t>
        </is>
      </c>
      <c r="C21" s="24" t="inlineStr">
        <is>
          <t>NTE240</t>
        </is>
      </c>
      <c r="D21" s="24" t="inlineStr">
        <is>
          <t>NHLTBABATPB200027</t>
        </is>
      </c>
      <c r="E21" s="24" t="inlineStr">
        <is>
          <t>212</t>
        </is>
      </c>
      <c r="F21" s="24" t="inlineStr">
        <is>
          <t>факт</t>
        </is>
      </c>
      <c r="G21" s="26" t="n">
        <v>45412</v>
      </c>
      <c r="H21" s="10">
        <f>IF(G21&lt;$D$5,$D$6,$D$7)</f>
        <v>12</v>
      </c>
      <c r="I21" s="26">
        <f>EDATE(G21,H21)</f>
        <v>45777</v>
      </c>
    </row>
    <row r="22">
      <c r="A22" s="24" t="n">
        <v>13</v>
      </c>
      <c r="B22" s="25" t="inlineStr">
        <is>
          <t>Полюс Красноярск</t>
        </is>
      </c>
      <c r="C22" s="24" t="inlineStr">
        <is>
          <t>NTE240</t>
        </is>
      </c>
      <c r="D22" s="24" t="inlineStr">
        <is>
          <t>NHLTBABAPPB200028</t>
        </is>
      </c>
      <c r="E22" s="24" t="inlineStr">
        <is>
          <t>213</t>
        </is>
      </c>
      <c r="F22" s="24" t="inlineStr">
        <is>
          <t>факт</t>
        </is>
      </c>
      <c r="G22" s="26" t="n">
        <v>45416</v>
      </c>
      <c r="H22" s="10">
        <f>IF(G22&lt;$D$5,$D$6,$D$7)</f>
        <v>12</v>
      </c>
      <c r="I22" s="26">
        <f>EDATE(G22,H22)</f>
        <v>45781</v>
      </c>
    </row>
    <row r="23">
      <c r="A23" s="24" t="n">
        <v>14</v>
      </c>
      <c r="B23" s="25" t="inlineStr">
        <is>
          <t>Полюс Красноярск</t>
        </is>
      </c>
      <c r="C23" s="24" t="inlineStr">
        <is>
          <t>NTE240</t>
        </is>
      </c>
      <c r="D23" s="24" t="inlineStr">
        <is>
          <t>NHLTBABATPB200030</t>
        </is>
      </c>
      <c r="E23" s="24" t="inlineStr">
        <is>
          <t>214</t>
        </is>
      </c>
      <c r="F23" s="24" t="inlineStr">
        <is>
          <t>факт</t>
        </is>
      </c>
      <c r="G23" s="26" t="n">
        <v>45428</v>
      </c>
      <c r="H23" s="10">
        <f>IF(G23&lt;$D$5,$D$6,$D$7)</f>
        <v>12</v>
      </c>
      <c r="I23" s="26">
        <f>EDATE(G23,H23)</f>
        <v>45793</v>
      </c>
    </row>
    <row r="24">
      <c r="A24" s="24" t="n">
        <v>15</v>
      </c>
      <c r="B24" s="25" t="inlineStr">
        <is>
          <t>Полюс Красноярск</t>
        </is>
      </c>
      <c r="C24" s="24" t="inlineStr">
        <is>
          <t>NTE240</t>
        </is>
      </c>
      <c r="D24" s="24" t="inlineStr">
        <is>
          <t>NHLTBABAKPB200029</t>
        </is>
      </c>
      <c r="E24" s="24" t="inlineStr">
        <is>
          <t>215</t>
        </is>
      </c>
      <c r="F24" s="24" t="inlineStr">
        <is>
          <t>факт</t>
        </is>
      </c>
      <c r="G24" s="26" t="n">
        <v>45428</v>
      </c>
      <c r="H24" s="10">
        <f>IF(G24&lt;$D$5,$D$6,$D$7)</f>
        <v>12</v>
      </c>
      <c r="I24" s="26">
        <f>EDATE(G24,H24)</f>
        <v>45793</v>
      </c>
    </row>
    <row r="25">
      <c r="A25" s="24" t="n">
        <v>16</v>
      </c>
      <c r="B25" s="25" t="inlineStr">
        <is>
          <t>Полюс Красноярск</t>
        </is>
      </c>
      <c r="C25" s="24" t="inlineStr">
        <is>
          <t>NTE240</t>
        </is>
      </c>
      <c r="D25" s="24" t="inlineStr">
        <is>
          <t>NHLTBABACPB200034</t>
        </is>
      </c>
      <c r="E25" s="24" t="inlineStr">
        <is>
          <t>216</t>
        </is>
      </c>
      <c r="F25" s="24" t="inlineStr">
        <is>
          <t>факт</t>
        </is>
      </c>
      <c r="G25" s="26" t="n">
        <v>45437</v>
      </c>
      <c r="H25" s="10">
        <f>IF(G25&lt;$D$5,$D$6,$D$7)</f>
        <v>12</v>
      </c>
      <c r="I25" s="26">
        <f>EDATE(G25,H25)</f>
        <v>45802</v>
      </c>
    </row>
    <row r="26">
      <c r="A26" s="24" t="n">
        <v>17</v>
      </c>
      <c r="B26" s="25" t="inlineStr">
        <is>
          <t>Полюс Красноярск</t>
        </is>
      </c>
      <c r="C26" s="24" t="inlineStr">
        <is>
          <t>NTE240</t>
        </is>
      </c>
      <c r="D26" s="24" t="inlineStr">
        <is>
          <t>NHLTBABAJPB200033</t>
        </is>
      </c>
      <c r="E26" s="24" t="inlineStr">
        <is>
          <t>217</t>
        </is>
      </c>
      <c r="F26" s="24" t="inlineStr">
        <is>
          <t>факт</t>
        </is>
      </c>
      <c r="G26" s="26" t="n">
        <v>45439</v>
      </c>
      <c r="H26" s="10">
        <f>IF(G26&lt;$D$5,$D$6,$D$7)</f>
        <v>12</v>
      </c>
      <c r="I26" s="26">
        <f>EDATE(G26,H26)</f>
        <v>45804</v>
      </c>
    </row>
    <row r="27">
      <c r="A27" s="24" t="n">
        <v>18</v>
      </c>
      <c r="B27" s="25" t="inlineStr">
        <is>
          <t>Полюс Красноярск</t>
        </is>
      </c>
      <c r="C27" s="24" t="inlineStr">
        <is>
          <t>NTE240</t>
        </is>
      </c>
      <c r="D27" s="24" t="inlineStr">
        <is>
          <t>NHLTBABAVPB200035</t>
        </is>
      </c>
      <c r="E27" s="24" t="inlineStr">
        <is>
          <t>218</t>
        </is>
      </c>
      <c r="F27" s="24" t="inlineStr">
        <is>
          <t>факт</t>
        </is>
      </c>
      <c r="G27" s="26" t="n">
        <v>45446</v>
      </c>
      <c r="H27" s="10">
        <f>IF(G27&lt;$D$5,$D$6,$D$7)</f>
        <v>12</v>
      </c>
      <c r="I27" s="26">
        <f>EDATE(G27,H27)</f>
        <v>45811</v>
      </c>
    </row>
    <row r="28">
      <c r="A28" s="24" t="n">
        <v>19</v>
      </c>
      <c r="B28" s="25" t="inlineStr">
        <is>
          <t>Полюс Красноярск</t>
        </is>
      </c>
      <c r="C28" s="24" t="inlineStr">
        <is>
          <t>NTE240</t>
        </is>
      </c>
      <c r="D28" s="24" t="inlineStr">
        <is>
          <t>NHLTBABALPB200040</t>
        </is>
      </c>
      <c r="E28" s="24" t="inlineStr">
        <is>
          <t>219</t>
        </is>
      </c>
      <c r="F28" s="24" t="inlineStr">
        <is>
          <t>факт</t>
        </is>
      </c>
      <c r="G28" s="26" t="n">
        <v>45453</v>
      </c>
      <c r="H28" s="10">
        <f>IF(G28&lt;$D$5,$D$6,$D$7)</f>
        <v>12</v>
      </c>
      <c r="I28" s="26">
        <f>EDATE(G28,H28)</f>
        <v>45818</v>
      </c>
    </row>
    <row r="29">
      <c r="A29" s="24" t="n">
        <v>20</v>
      </c>
      <c r="B29" s="25" t="inlineStr">
        <is>
          <t>Полюс Красноярск</t>
        </is>
      </c>
      <c r="C29" s="24" t="inlineStr">
        <is>
          <t>NTE240</t>
        </is>
      </c>
      <c r="D29" s="24" t="inlineStr">
        <is>
          <t>NHLTBABAVPB200018</t>
        </is>
      </c>
      <c r="E29" s="24" t="inlineStr">
        <is>
          <t>220</t>
        </is>
      </c>
      <c r="F29" s="24" t="inlineStr">
        <is>
          <t>факт</t>
        </is>
      </c>
      <c r="G29" s="26" t="n">
        <v>45463</v>
      </c>
      <c r="H29" s="10">
        <f>IF(G29&lt;$D$5,$D$6,$D$7)</f>
        <v>12</v>
      </c>
      <c r="I29" s="26">
        <f>EDATE(G29,H29)</f>
        <v>45828</v>
      </c>
    </row>
    <row r="30">
      <c r="A30" s="24" t="n">
        <v>21</v>
      </c>
      <c r="B30" s="25" t="inlineStr">
        <is>
          <t>Полюс Красноярск</t>
        </is>
      </c>
      <c r="C30" s="24" t="inlineStr">
        <is>
          <t>NTE240</t>
        </is>
      </c>
      <c r="D30" s="24" t="inlineStr">
        <is>
          <t>NHLTBABALPB200037</t>
        </is>
      </c>
      <c r="E30" s="24" t="inlineStr">
        <is>
          <t>221</t>
        </is>
      </c>
      <c r="F30" s="24" t="inlineStr">
        <is>
          <t>факт</t>
        </is>
      </c>
      <c r="G30" s="26" t="n">
        <v>45464</v>
      </c>
      <c r="H30" s="10">
        <f>IF(G30&lt;$D$5,$D$6,$D$7)</f>
        <v>12</v>
      </c>
      <c r="I30" s="26">
        <f>EDATE(G30,H30)</f>
        <v>45829</v>
      </c>
    </row>
    <row r="31">
      <c r="A31" s="24" t="n">
        <v>22</v>
      </c>
      <c r="B31" s="25" t="inlineStr">
        <is>
          <t>Полюс Красноярск</t>
        </is>
      </c>
      <c r="C31" s="24" t="inlineStr">
        <is>
          <t>NTE240</t>
        </is>
      </c>
      <c r="D31" s="24" t="inlineStr">
        <is>
          <t>NHLTBABAAPB200036</t>
        </is>
      </c>
      <c r="E31" s="24" t="inlineStr">
        <is>
          <t>222</t>
        </is>
      </c>
      <c r="F31" s="24" t="inlineStr">
        <is>
          <t>факт</t>
        </is>
      </c>
      <c r="G31" s="26" t="n">
        <v>45473</v>
      </c>
      <c r="H31" s="10">
        <f>IF(G31&lt;$D$5,$D$6,$D$7)</f>
        <v>12</v>
      </c>
      <c r="I31" s="26">
        <f>EDATE(G31,H31)</f>
        <v>45838</v>
      </c>
    </row>
    <row r="32">
      <c r="A32" s="24" t="n">
        <v>23</v>
      </c>
      <c r="B32" s="25" t="inlineStr">
        <is>
          <t>Полюс Красноярск</t>
        </is>
      </c>
      <c r="C32" s="24" t="inlineStr">
        <is>
          <t>NTE240</t>
        </is>
      </c>
      <c r="D32" s="24" t="inlineStr">
        <is>
          <t>NHLTBABAEPB200039</t>
        </is>
      </c>
      <c r="E32" s="24" t="inlineStr">
        <is>
          <t>223</t>
        </is>
      </c>
      <c r="F32" s="24" t="inlineStr">
        <is>
          <t>факт</t>
        </is>
      </c>
      <c r="G32" s="26" t="n">
        <v>45474</v>
      </c>
      <c r="H32" s="10">
        <f>IF(G32&lt;$D$5,$D$6,$D$7)</f>
        <v>12</v>
      </c>
      <c r="I32" s="26">
        <f>EDATE(G32,H32)</f>
        <v>45839</v>
      </c>
    </row>
    <row r="33">
      <c r="A33" s="24" t="n">
        <v>24</v>
      </c>
      <c r="B33" s="25" t="inlineStr">
        <is>
          <t>Полюс Красноярск</t>
        </is>
      </c>
      <c r="C33" s="24" t="inlineStr">
        <is>
          <t>NTE240</t>
        </is>
      </c>
      <c r="D33" s="24" t="inlineStr">
        <is>
          <t>NHLTBABAHPB200038</t>
        </is>
      </c>
      <c r="E33" s="24" t="inlineStr">
        <is>
          <t>224</t>
        </is>
      </c>
      <c r="F33" s="24" t="inlineStr">
        <is>
          <t>факт</t>
        </is>
      </c>
      <c r="G33" s="26" t="n">
        <v>45496</v>
      </c>
      <c r="H33" s="10">
        <f>IF(G33&lt;$D$5,$D$6,$D$7)</f>
        <v>12</v>
      </c>
      <c r="I33" s="26">
        <f>EDATE(G33,H33)</f>
        <v>45861</v>
      </c>
    </row>
    <row r="34">
      <c r="A34" s="24" t="n">
        <v>25</v>
      </c>
      <c r="B34" s="25" t="inlineStr">
        <is>
          <t>Полюс Красноярск</t>
        </is>
      </c>
      <c r="C34" s="24" t="inlineStr">
        <is>
          <t>NTE240</t>
        </is>
      </c>
      <c r="D34" s="24" t="inlineStr">
        <is>
          <t>NHLTBABAHPB200041</t>
        </is>
      </c>
      <c r="E34" s="24" t="inlineStr">
        <is>
          <t>225</t>
        </is>
      </c>
      <c r="F34" s="24" t="inlineStr">
        <is>
          <t>факт</t>
        </is>
      </c>
      <c r="G34" s="26" t="n">
        <v>45512</v>
      </c>
      <c r="H34" s="10">
        <f>IF(G34&lt;$D$5,$D$6,$D$7)</f>
        <v>12</v>
      </c>
      <c r="I34" s="26">
        <f>EDATE(G34,H34)</f>
        <v>45877</v>
      </c>
    </row>
    <row r="35">
      <c r="A35" s="24" t="n">
        <v>26</v>
      </c>
      <c r="B35" s="25" t="inlineStr">
        <is>
          <t>Полюс Красноярск</t>
        </is>
      </c>
      <c r="C35" s="24" t="inlineStr">
        <is>
          <t>NTE240</t>
        </is>
      </c>
      <c r="D35" s="24" t="inlineStr">
        <is>
          <t>NHLTBABAPPB200031</t>
        </is>
      </c>
      <c r="E35" s="24" t="inlineStr">
        <is>
          <t>226</t>
        </is>
      </c>
      <c r="F35" s="24" t="inlineStr">
        <is>
          <t>факт</t>
        </is>
      </c>
      <c r="G35" s="26" t="n">
        <v>45521</v>
      </c>
      <c r="H35" s="10">
        <f>IF(G35&lt;$D$5,$D$6,$D$7)</f>
        <v>12</v>
      </c>
      <c r="I35" s="26">
        <f>EDATE(G35,H35)</f>
        <v>45886</v>
      </c>
    </row>
    <row r="36">
      <c r="A36" s="24" t="n">
        <v>27</v>
      </c>
      <c r="B36" s="25" t="inlineStr">
        <is>
          <t>Полюс Красноярск</t>
        </is>
      </c>
      <c r="C36" s="24" t="inlineStr">
        <is>
          <t>NTE240</t>
        </is>
      </c>
      <c r="D36" s="24" t="inlineStr">
        <is>
          <t>NHLTBABATPB200044</t>
        </is>
      </c>
      <c r="E36" s="24" t="inlineStr">
        <is>
          <t>227</t>
        </is>
      </c>
      <c r="F36" s="24" t="inlineStr">
        <is>
          <t>факт</t>
        </is>
      </c>
      <c r="G36" s="26" t="n">
        <v>45536</v>
      </c>
      <c r="H36" s="10">
        <f>IF(G36&lt;$D$5,$D$6,$D$7)</f>
        <v>12</v>
      </c>
      <c r="I36" s="26">
        <f>EDATE(G36,H36)</f>
        <v>45901</v>
      </c>
    </row>
    <row r="37">
      <c r="A37" s="24" t="n">
        <v>28</v>
      </c>
      <c r="B37" s="25" t="inlineStr">
        <is>
          <t>Полюс Красноярск</t>
        </is>
      </c>
      <c r="C37" s="24" t="inlineStr">
        <is>
          <t>NTE240</t>
        </is>
      </c>
      <c r="D37" s="24" t="inlineStr">
        <is>
          <t>NHLTBABAEPB200042</t>
        </is>
      </c>
      <c r="E37" s="24" t="inlineStr">
        <is>
          <t>228</t>
        </is>
      </c>
      <c r="F37" s="24" t="inlineStr">
        <is>
          <t>факт</t>
        </is>
      </c>
      <c r="G37" s="26" t="n">
        <v>45536</v>
      </c>
      <c r="H37" s="10">
        <f>IF(G37&lt;$D$5,$D$6,$D$7)</f>
        <v>12</v>
      </c>
      <c r="I37" s="26">
        <f>EDATE(G37,H37)</f>
        <v>45901</v>
      </c>
    </row>
    <row r="38">
      <c r="A38" s="24" t="n">
        <v>29</v>
      </c>
      <c r="B38" s="25" t="inlineStr">
        <is>
          <t>Полюс Красноярск</t>
        </is>
      </c>
      <c r="C38" s="24" t="inlineStr">
        <is>
          <t>NTE240</t>
        </is>
      </c>
      <c r="D38" s="24" t="inlineStr">
        <is>
          <t>NHLTBABAPPB200045</t>
        </is>
      </c>
      <c r="E38" s="24" t="inlineStr">
        <is>
          <t>229</t>
        </is>
      </c>
      <c r="F38" s="24" t="inlineStr">
        <is>
          <t>факт</t>
        </is>
      </c>
      <c r="G38" s="26" t="n">
        <v>45541</v>
      </c>
      <c r="H38" s="10">
        <f>IF(G38&lt;$D$5,$D$6,$D$7)</f>
        <v>12</v>
      </c>
      <c r="I38" s="26">
        <f>EDATE(G38,H38)</f>
        <v>45906</v>
      </c>
    </row>
    <row r="39">
      <c r="A39" s="24" t="n">
        <v>30</v>
      </c>
      <c r="B39" s="25" t="inlineStr">
        <is>
          <t>Полюс Красноярск</t>
        </is>
      </c>
      <c r="C39" s="24" t="inlineStr">
        <is>
          <t>NTE240</t>
        </is>
      </c>
      <c r="D39" s="24" t="inlineStr">
        <is>
          <t>NHLTBABAVPB200049</t>
        </is>
      </c>
      <c r="E39" s="24" t="inlineStr">
        <is>
          <t>231</t>
        </is>
      </c>
      <c r="F39" s="24" t="inlineStr">
        <is>
          <t>факт</t>
        </is>
      </c>
      <c r="G39" s="26" t="n">
        <v>45549</v>
      </c>
      <c r="H39" s="10">
        <f>IF(G39&lt;$D$5,$D$6,$D$7)</f>
        <v>12</v>
      </c>
      <c r="I39" s="26">
        <f>EDATE(G39,H39)</f>
        <v>45914</v>
      </c>
    </row>
    <row r="40">
      <c r="A40" s="24" t="n">
        <v>31</v>
      </c>
      <c r="B40" s="25" t="inlineStr">
        <is>
          <t>Полюс Красноярск</t>
        </is>
      </c>
      <c r="C40" s="24" t="inlineStr">
        <is>
          <t>NTE240</t>
        </is>
      </c>
      <c r="D40" s="24" t="inlineStr">
        <is>
          <t>NHLTBABAJPB200047</t>
        </is>
      </c>
      <c r="E40" s="24" t="inlineStr">
        <is>
          <t>230</t>
        </is>
      </c>
      <c r="F40" s="24" t="inlineStr">
        <is>
          <t>факт</t>
        </is>
      </c>
      <c r="G40" s="26" t="n">
        <v>45569</v>
      </c>
      <c r="H40" s="10">
        <f>IF(G40&lt;$D$5,$D$6,$D$7)</f>
        <v>12</v>
      </c>
      <c r="I40" s="26">
        <f>EDATE(G40,H40)</f>
        <v>45934</v>
      </c>
    </row>
    <row r="41">
      <c r="A41" s="24" t="n">
        <v>32</v>
      </c>
      <c r="B41" s="25" t="inlineStr">
        <is>
          <t>Полюс Красноярск</t>
        </is>
      </c>
      <c r="C41" s="24" t="inlineStr">
        <is>
          <t>NTE240</t>
        </is>
      </c>
      <c r="D41" s="24" t="inlineStr">
        <is>
          <t>NHLTBABAKPB200046</t>
        </is>
      </c>
      <c r="E41" s="24" t="inlineStr">
        <is>
          <t>232</t>
        </is>
      </c>
      <c r="F41" s="24" t="inlineStr">
        <is>
          <t>факт</t>
        </is>
      </c>
      <c r="G41" s="26" t="n">
        <v>45593</v>
      </c>
      <c r="H41" s="10">
        <f>IF(G41&lt;$D$5,$D$6,$D$7)</f>
        <v>12</v>
      </c>
      <c r="I41" s="26">
        <f>EDATE(G41,H41)</f>
        <v>45958</v>
      </c>
    </row>
    <row r="42">
      <c r="A42" s="24" t="n">
        <v>33</v>
      </c>
      <c r="B42" s="25" t="inlineStr">
        <is>
          <t>Полюс Красноярск</t>
        </is>
      </c>
      <c r="C42" s="24" t="inlineStr">
        <is>
          <t>NTE240</t>
        </is>
      </c>
      <c r="D42" s="24" t="inlineStr">
        <is>
          <t>NHLTBABACPB200048</t>
        </is>
      </c>
      <c r="E42" s="24" t="inlineStr">
        <is>
          <t>233</t>
        </is>
      </c>
      <c r="F42" s="24" t="inlineStr">
        <is>
          <t>факт</t>
        </is>
      </c>
      <c r="G42" s="26" t="n">
        <v>45627</v>
      </c>
      <c r="H42" s="10">
        <f>IF(G42&lt;$D$5,$D$6,$D$7)</f>
        <v>12</v>
      </c>
      <c r="I42" s="26">
        <f>EDATE(G42,H42)</f>
        <v>45992</v>
      </c>
    </row>
    <row r="43">
      <c r="A43" s="24" t="n">
        <v>34</v>
      </c>
      <c r="B43" s="25" t="inlineStr">
        <is>
          <t>Полюс Красноярск</t>
        </is>
      </c>
      <c r="C43" s="24" t="inlineStr">
        <is>
          <t>NTE240</t>
        </is>
      </c>
      <c r="D43" s="24" t="inlineStr">
        <is>
          <t>NHLTBABAJPB200050</t>
        </is>
      </c>
      <c r="E43" s="24" t="inlineStr">
        <is>
          <t>234</t>
        </is>
      </c>
      <c r="F43" s="24" t="inlineStr">
        <is>
          <t>факт</t>
        </is>
      </c>
      <c r="G43" s="26" t="n">
        <v>45632</v>
      </c>
      <c r="H43" s="10">
        <f>IF(G43&lt;$D$5,$D$6,$D$7)</f>
        <v>12</v>
      </c>
      <c r="I43" s="26">
        <f>EDATE(G43,H43)</f>
        <v>45997</v>
      </c>
    </row>
    <row r="44">
      <c r="A44" s="24" t="n">
        <v>35</v>
      </c>
      <c r="B44" s="25" t="inlineStr">
        <is>
          <t>Полюс Красноярск</t>
        </is>
      </c>
      <c r="C44" s="24" t="inlineStr">
        <is>
          <t>NTE240</t>
        </is>
      </c>
      <c r="D44" s="24" t="inlineStr">
        <is>
          <t>NHLTBABAJPB200016</t>
        </is>
      </c>
      <c r="E44" s="24" t="inlineStr">
        <is>
          <t>235</t>
        </is>
      </c>
      <c r="F44" s="24" t="inlineStr">
        <is>
          <t>факт</t>
        </is>
      </c>
      <c r="G44" s="26" t="n">
        <v>45636</v>
      </c>
      <c r="H44" s="10">
        <f>IF(G44&lt;$D$5,$D$6,$D$7)</f>
        <v>12</v>
      </c>
      <c r="I44" s="26">
        <f>EDATE(G44,H44)</f>
        <v>46001</v>
      </c>
    </row>
    <row r="45">
      <c r="A45" s="24" t="n">
        <v>36</v>
      </c>
      <c r="B45" s="25" t="inlineStr">
        <is>
          <t>Полюс Красноярск</t>
        </is>
      </c>
      <c r="C45" s="24" t="inlineStr">
        <is>
          <t>NTE240</t>
        </is>
      </c>
      <c r="D45" s="24" t="inlineStr">
        <is>
          <t>NHLTBABACPB200043</t>
        </is>
      </c>
      <c r="E45" s="24" t="inlineStr">
        <is>
          <t>236</t>
        </is>
      </c>
      <c r="F45" s="24" t="inlineStr">
        <is>
          <t>факт</t>
        </is>
      </c>
      <c r="G45" s="26" t="n">
        <v>45646</v>
      </c>
      <c r="H45" s="10">
        <f>IF(G45&lt;$D$5,$D$6,$D$7)</f>
        <v>12</v>
      </c>
      <c r="I45" s="26">
        <f>EDATE(G45,H45)</f>
        <v>46011</v>
      </c>
    </row>
    <row r="46">
      <c r="A46" s="24" t="n">
        <v>37</v>
      </c>
      <c r="B46" s="25" t="inlineStr">
        <is>
          <t>Полюс Красноярск</t>
        </is>
      </c>
      <c r="C46" s="24" t="inlineStr">
        <is>
          <t>NTE240</t>
        </is>
      </c>
      <c r="D46" s="24" t="inlineStr">
        <is>
          <t>NHLTBABAJRB200052</t>
        </is>
      </c>
      <c r="E46" s="24" t="inlineStr">
        <is>
          <t>238</t>
        </is>
      </c>
      <c r="F46" s="24" t="inlineStr">
        <is>
          <t>факт</t>
        </is>
      </c>
      <c r="G46" s="26" t="n">
        <v>45661</v>
      </c>
      <c r="H46" s="10">
        <f>IF(G46&lt;$D$5,$D$6,$D$7)</f>
        <v>12</v>
      </c>
      <c r="I46" s="26">
        <f>EDATE(G46,H46)</f>
        <v>46026</v>
      </c>
    </row>
    <row r="47">
      <c r="A47" s="24" t="n">
        <v>38</v>
      </c>
      <c r="B47" s="25" t="inlineStr">
        <is>
          <t>Полюс Красноярск</t>
        </is>
      </c>
      <c r="C47" s="24" t="inlineStr">
        <is>
          <t>NTE240</t>
        </is>
      </c>
      <c r="D47" s="24" t="inlineStr">
        <is>
          <t>NHLTBABACRB200053</t>
        </is>
      </c>
      <c r="E47" s="24" t="inlineStr">
        <is>
          <t>237</t>
        </is>
      </c>
      <c r="F47" s="24" t="inlineStr">
        <is>
          <t>факт</t>
        </is>
      </c>
      <c r="G47" s="26" t="n">
        <v>45663</v>
      </c>
      <c r="H47" s="10">
        <f>IF(G47&lt;$D$5,$D$6,$D$7)</f>
        <v>12</v>
      </c>
      <c r="I47" s="26">
        <f>EDATE(G47,H47)</f>
        <v>46028</v>
      </c>
    </row>
    <row r="48">
      <c r="A48" s="24" t="n">
        <v>39</v>
      </c>
      <c r="B48" s="25" t="inlineStr">
        <is>
          <t>Полюс Красноярск</t>
        </is>
      </c>
      <c r="C48" s="24" t="inlineStr">
        <is>
          <t>NTE240</t>
        </is>
      </c>
      <c r="D48" s="24" t="inlineStr">
        <is>
          <t>NHLTBABAKRB200051</t>
        </is>
      </c>
      <c r="E48" s="24" t="inlineStr">
        <is>
          <t>239</t>
        </is>
      </c>
      <c r="F48" s="24" t="inlineStr">
        <is>
          <t>факт</t>
        </is>
      </c>
      <c r="G48" s="26" t="n">
        <v>45672</v>
      </c>
      <c r="H48" s="10">
        <f>IF(G48&lt;$D$5,$D$6,$D$7)</f>
        <v>12</v>
      </c>
      <c r="I48" s="26">
        <f>EDATE(G48,H48)</f>
        <v>46037</v>
      </c>
    </row>
    <row r="49">
      <c r="A49" s="24" t="n">
        <v>40</v>
      </c>
      <c r="B49" s="25" t="inlineStr">
        <is>
          <t>Полюс Красноярск</t>
        </is>
      </c>
      <c r="C49" s="24" t="inlineStr">
        <is>
          <t>NTE240</t>
        </is>
      </c>
      <c r="D49" s="24" t="inlineStr">
        <is>
          <t>NHLTBABAVRB200054</t>
        </is>
      </c>
      <c r="E49" s="24" t="inlineStr">
        <is>
          <t>240</t>
        </is>
      </c>
      <c r="F49" s="24" t="inlineStr">
        <is>
          <t>факт</t>
        </is>
      </c>
      <c r="G49" s="26" t="n">
        <v>45674</v>
      </c>
      <c r="H49" s="10">
        <f>IF(G49&lt;$D$5,$D$6,$D$7)</f>
        <v>12</v>
      </c>
      <c r="I49" s="26">
        <f>EDATE(G49,H49)</f>
        <v>46039</v>
      </c>
    </row>
    <row r="50">
      <c r="A50" s="24" t="n">
        <v>41</v>
      </c>
      <c r="B50" s="25" t="inlineStr">
        <is>
          <t>Полюс Красноярск</t>
        </is>
      </c>
      <c r="C50" s="24" t="inlineStr">
        <is>
          <t>NTE240</t>
        </is>
      </c>
      <c r="D50" s="24" t="inlineStr">
        <is>
          <t>NHLTBABAERB200058</t>
        </is>
      </c>
      <c r="E50" s="24" t="inlineStr">
        <is>
          <t>242</t>
        </is>
      </c>
      <c r="F50" s="24" t="inlineStr">
        <is>
          <t>факт</t>
        </is>
      </c>
      <c r="G50" s="26" t="n">
        <v>45690</v>
      </c>
      <c r="H50" s="10">
        <f>IF(G50&lt;$D$5,$D$6,$D$7)</f>
        <v>12</v>
      </c>
      <c r="I50" s="26">
        <f>EDATE(G50,H50)</f>
        <v>46055</v>
      </c>
    </row>
    <row r="51">
      <c r="A51" s="24" t="n">
        <v>42</v>
      </c>
      <c r="B51" s="25" t="inlineStr">
        <is>
          <t>Полюс Красноярск</t>
        </is>
      </c>
      <c r="C51" s="24" t="inlineStr">
        <is>
          <t>NTE240</t>
        </is>
      </c>
      <c r="D51" s="24" t="inlineStr">
        <is>
          <t>NHLTBABAARB200055</t>
        </is>
      </c>
      <c r="E51" s="24" t="inlineStr">
        <is>
          <t>241</t>
        </is>
      </c>
      <c r="F51" s="24" t="inlineStr">
        <is>
          <t>факт</t>
        </is>
      </c>
      <c r="G51" s="26" t="n">
        <v>45693</v>
      </c>
      <c r="H51" s="10">
        <f>IF(G51&lt;$D$5,$D$6,$D$7)</f>
        <v>12</v>
      </c>
      <c r="I51" s="26">
        <f>EDATE(G51,H51)</f>
        <v>46058</v>
      </c>
    </row>
    <row r="52">
      <c r="A52" s="24" t="n">
        <v>43</v>
      </c>
      <c r="B52" s="25" t="inlineStr">
        <is>
          <t>Полюс Красноярск</t>
        </is>
      </c>
      <c r="C52" s="24" t="inlineStr">
        <is>
          <t>NTE240</t>
        </is>
      </c>
      <c r="D52" s="24" t="inlineStr">
        <is>
          <t>NHLTBABAHRB200057</t>
        </is>
      </c>
      <c r="E52" s="24" t="inlineStr">
        <is>
          <t>243</t>
        </is>
      </c>
      <c r="F52" s="24" t="inlineStr">
        <is>
          <t>факт</t>
        </is>
      </c>
      <c r="G52" s="26" t="n">
        <v>45706</v>
      </c>
      <c r="H52" s="10">
        <f>IF(G52&lt;$D$5,$D$6,$D$7)</f>
        <v>12</v>
      </c>
      <c r="I52" s="26">
        <f>EDATE(G52,H52)</f>
        <v>46071</v>
      </c>
    </row>
    <row r="53">
      <c r="A53" s="24" t="n">
        <v>44</v>
      </c>
      <c r="B53" s="25" t="inlineStr">
        <is>
          <t>Полюс Красноярск</t>
        </is>
      </c>
      <c r="C53" s="24" t="inlineStr">
        <is>
          <t>NTE240</t>
        </is>
      </c>
      <c r="D53" s="24" t="inlineStr">
        <is>
          <t>NHLTBABAERB200061</t>
        </is>
      </c>
      <c r="E53" s="24" t="inlineStr">
        <is>
          <t>244</t>
        </is>
      </c>
      <c r="F53" s="24" t="inlineStr">
        <is>
          <t>факт</t>
        </is>
      </c>
      <c r="G53" s="26" t="n">
        <v>45717</v>
      </c>
      <c r="H53" s="10">
        <f>IF(G53&lt;$D$5,$D$6,$D$7)</f>
        <v>12</v>
      </c>
      <c r="I53" s="26">
        <f>EDATE(G53,H53)</f>
        <v>46082</v>
      </c>
    </row>
    <row r="54">
      <c r="A54" s="24" t="n">
        <v>45</v>
      </c>
      <c r="B54" s="25" t="inlineStr">
        <is>
          <t>Полюс Красноярск</t>
        </is>
      </c>
      <c r="C54" s="24" t="inlineStr">
        <is>
          <t>NTE240</t>
        </is>
      </c>
      <c r="D54" s="24" t="inlineStr">
        <is>
          <t>NHLTBABACRB200059</t>
        </is>
      </c>
      <c r="E54" s="24" t="inlineStr">
        <is>
          <t>245</t>
        </is>
      </c>
      <c r="F54" s="24" t="inlineStr">
        <is>
          <t>факт</t>
        </is>
      </c>
      <c r="G54" s="26" t="n">
        <v>45717</v>
      </c>
      <c r="H54" s="10">
        <f>IF(G54&lt;$D$5,$D$6,$D$7)</f>
        <v>12</v>
      </c>
      <c r="I54" s="26">
        <f>EDATE(G54,H54)</f>
        <v>46082</v>
      </c>
    </row>
    <row r="55">
      <c r="A55" s="24" t="n">
        <v>46</v>
      </c>
      <c r="B55" s="25" t="inlineStr">
        <is>
          <t>Полюс Красноярск</t>
        </is>
      </c>
      <c r="C55" s="24" t="inlineStr">
        <is>
          <t>NTE240</t>
        </is>
      </c>
      <c r="D55" s="24" t="inlineStr">
        <is>
          <t>NHLTBABAHRB200060</t>
        </is>
      </c>
      <c r="E55" s="24" t="inlineStr">
        <is>
          <t>247</t>
        </is>
      </c>
      <c r="F55" s="24" t="inlineStr">
        <is>
          <t>факт</t>
        </is>
      </c>
      <c r="G55" s="26" t="n">
        <v>45739</v>
      </c>
      <c r="H55" s="10">
        <f>IF(G55&lt;$D$5,$D$6,$D$7)</f>
        <v>12</v>
      </c>
      <c r="I55" s="26">
        <f>EDATE(G55,H55)</f>
        <v>46104</v>
      </c>
    </row>
    <row r="56">
      <c r="A56" s="24" t="n">
        <v>47</v>
      </c>
      <c r="B56" s="25" t="inlineStr">
        <is>
          <t>Полюс Красноярск</t>
        </is>
      </c>
      <c r="C56" s="24" t="inlineStr">
        <is>
          <t>NTE240</t>
        </is>
      </c>
      <c r="D56" s="24" t="inlineStr">
        <is>
          <t>NHLTBABALRB200056</t>
        </is>
      </c>
      <c r="E56" s="24" t="inlineStr">
        <is>
          <t>246</t>
        </is>
      </c>
      <c r="F56" s="24" t="inlineStr">
        <is>
          <t>факт</t>
        </is>
      </c>
      <c r="G56" s="26" t="n">
        <v>45744</v>
      </c>
      <c r="H56" s="10">
        <f>IF(G56&lt;$D$5,$D$6,$D$7)</f>
        <v>12</v>
      </c>
      <c r="I56" s="26">
        <f>EDATE(G56,H56)</f>
        <v>46109</v>
      </c>
    </row>
    <row r="57">
      <c r="A57" s="24" t="n">
        <v>48</v>
      </c>
      <c r="B57" s="25" t="inlineStr">
        <is>
          <t>Полюс Красноярск</t>
        </is>
      </c>
      <c r="C57" s="24" t="inlineStr">
        <is>
          <t>NTE240</t>
        </is>
      </c>
      <c r="D57" s="24" t="inlineStr">
        <is>
          <t>NHLTBABAHSB200078</t>
        </is>
      </c>
      <c r="E57" s="24" t="inlineStr">
        <is>
          <t>248</t>
        </is>
      </c>
      <c r="F57" s="24" t="inlineStr">
        <is>
          <t>факт</t>
        </is>
      </c>
      <c r="G57" s="26" t="n">
        <v>45768</v>
      </c>
      <c r="H57" s="10">
        <f>IF(G57&lt;$D$5,$D$6,$D$7)</f>
        <v>12</v>
      </c>
      <c r="I57" s="26">
        <f>EDATE(G57,H57)</f>
        <v>46133</v>
      </c>
    </row>
    <row r="58">
      <c r="A58" s="24" t="n">
        <v>49</v>
      </c>
      <c r="B58" s="25" t="inlineStr">
        <is>
          <t>Полюс Красноярск</t>
        </is>
      </c>
      <c r="C58" s="24" t="inlineStr">
        <is>
          <t>NTE240</t>
        </is>
      </c>
      <c r="D58" s="24" t="inlineStr">
        <is>
          <t>NHLTBABAESB200079</t>
        </is>
      </c>
      <c r="E58" s="24" t="inlineStr">
        <is>
          <t>249</t>
        </is>
      </c>
      <c r="F58" s="24" t="inlineStr">
        <is>
          <t>факт</t>
        </is>
      </c>
      <c r="G58" s="26" t="n">
        <v>45772</v>
      </c>
      <c r="H58" s="10">
        <f>IF(G58&lt;$D$5,$D$6,$D$7)</f>
        <v>12</v>
      </c>
      <c r="I58" s="26">
        <f>EDATE(G58,H58)</f>
        <v>46137</v>
      </c>
    </row>
    <row r="59">
      <c r="A59" s="24" t="n">
        <v>50</v>
      </c>
      <c r="B59" s="25" t="inlineStr">
        <is>
          <t>Полюс Красноярск</t>
        </is>
      </c>
      <c r="C59" s="24" t="inlineStr">
        <is>
          <t>NTE240</t>
        </is>
      </c>
      <c r="D59" s="24" t="inlineStr">
        <is>
          <t>NHLTBABALSB200080</t>
        </is>
      </c>
      <c r="E59" s="24" t="inlineStr">
        <is>
          <t>250</t>
        </is>
      </c>
      <c r="F59" s="24" t="inlineStr">
        <is>
          <t>факт</t>
        </is>
      </c>
      <c r="G59" s="26" t="n">
        <v>45782</v>
      </c>
      <c r="H59" s="10">
        <f>IF(G59&lt;$D$5,$D$6,$D$7)</f>
        <v>12</v>
      </c>
      <c r="I59" s="26">
        <f>EDATE(G59,H59)</f>
        <v>46147</v>
      </c>
    </row>
    <row r="60">
      <c r="A60" s="24" t="n">
        <v>51</v>
      </c>
      <c r="B60" s="25" t="inlineStr">
        <is>
          <t>Полюс Красноярск</t>
        </is>
      </c>
      <c r="C60" s="24" t="inlineStr">
        <is>
          <t>NTE240</t>
        </is>
      </c>
      <c r="D60" s="24" t="inlineStr">
        <is>
          <t>NHLTBABAHSB200081</t>
        </is>
      </c>
      <c r="E60" s="24" t="inlineStr">
        <is>
          <t>251</t>
        </is>
      </c>
      <c r="F60" s="24" t="inlineStr">
        <is>
          <t>факт</t>
        </is>
      </c>
      <c r="G60" s="26" t="n">
        <v>45789</v>
      </c>
      <c r="H60" s="10">
        <f>IF(G60&lt;$D$5,$D$6,$D$7)</f>
        <v>12</v>
      </c>
      <c r="I60" s="26">
        <f>EDATE(G60,H60)</f>
        <v>46154</v>
      </c>
    </row>
    <row r="61">
      <c r="A61" s="24" t="n">
        <v>52</v>
      </c>
      <c r="B61" s="25" t="inlineStr">
        <is>
          <t>Полюс Красноярск</t>
        </is>
      </c>
      <c r="C61" s="24" t="inlineStr">
        <is>
          <t>NTE240</t>
        </is>
      </c>
      <c r="D61" s="24" t="inlineStr">
        <is>
          <t>NHLTBABAESB200082</t>
        </is>
      </c>
      <c r="E61" s="24" t="inlineStr">
        <is>
          <t>252</t>
        </is>
      </c>
      <c r="F61" s="24" t="inlineStr">
        <is>
          <t>факт</t>
        </is>
      </c>
      <c r="G61" s="26" t="n">
        <v>45798</v>
      </c>
      <c r="H61" s="10">
        <f>IF(G61&lt;$D$5,$D$6,$D$7)</f>
        <v>12</v>
      </c>
      <c r="I61" s="26">
        <f>EDATE(G61,H61)</f>
        <v>46163</v>
      </c>
    </row>
    <row r="62">
      <c r="A62" s="24" t="n">
        <v>53</v>
      </c>
      <c r="B62" s="25" t="inlineStr">
        <is>
          <t>Полюс Красноярск</t>
        </is>
      </c>
      <c r="C62" s="24" t="inlineStr">
        <is>
          <t>NTE240</t>
        </is>
      </c>
      <c r="D62" s="24" t="inlineStr">
        <is>
          <t>NHLTBABACSB200083</t>
        </is>
      </c>
      <c r="E62" s="24" t="inlineStr">
        <is>
          <t>253</t>
        </is>
      </c>
      <c r="F62" s="24" t="inlineStr">
        <is>
          <t>факт</t>
        </is>
      </c>
      <c r="G62" s="26" t="n">
        <v>45806</v>
      </c>
      <c r="H62" s="10">
        <f>IF(G62&lt;$D$5,$D$6,$D$7)</f>
        <v>12</v>
      </c>
      <c r="I62" s="26">
        <f>EDATE(G62,H62)</f>
        <v>46171</v>
      </c>
    </row>
    <row r="63">
      <c r="A63" s="24" t="n">
        <v>54</v>
      </c>
      <c r="B63" s="25" t="inlineStr">
        <is>
          <t>Полюс Красноярск</t>
        </is>
      </c>
      <c r="C63" s="24" t="inlineStr">
        <is>
          <t>NTE240</t>
        </is>
      </c>
      <c r="D63" s="24" t="inlineStr">
        <is>
          <t>NHLTBABATSB200084</t>
        </is>
      </c>
      <c r="E63" s="24" t="inlineStr">
        <is>
          <t>254</t>
        </is>
      </c>
      <c r="F63" s="24" t="inlineStr">
        <is>
          <t>факт</t>
        </is>
      </c>
      <c r="G63" s="26" t="n">
        <v>45815</v>
      </c>
      <c r="H63" s="10">
        <f>IF(G63&lt;$D$5,$D$6,$D$7)</f>
        <v>12</v>
      </c>
      <c r="I63" s="26">
        <f>EDATE(G63,H63)</f>
        <v>46180</v>
      </c>
    </row>
    <row r="64">
      <c r="A64" s="24" t="n">
        <v>55</v>
      </c>
      <c r="B64" s="25" t="inlineStr">
        <is>
          <t>Полюс Красноярск</t>
        </is>
      </c>
      <c r="C64" s="24" t="inlineStr">
        <is>
          <t>NTE240</t>
        </is>
      </c>
      <c r="D64" s="24" t="inlineStr">
        <is>
          <t>NHLTBABAPSB200085</t>
        </is>
      </c>
      <c r="E64" s="24" t="inlineStr">
        <is>
          <t>255</t>
        </is>
      </c>
      <c r="F64" s="24" t="inlineStr">
        <is>
          <t>факт</t>
        </is>
      </c>
      <c r="G64" s="26" t="n">
        <v>45819</v>
      </c>
      <c r="H64" s="10">
        <f>IF(G64&lt;$D$5,$D$6,$D$7)</f>
        <v>12</v>
      </c>
      <c r="I64" s="26">
        <f>EDATE(G64,H64)</f>
        <v>46184</v>
      </c>
    </row>
    <row r="65">
      <c r="A65" s="24" t="n">
        <v>56</v>
      </c>
      <c r="B65" s="25" t="inlineStr">
        <is>
          <t>Полюс Красноярск</t>
        </is>
      </c>
      <c r="C65" s="24" t="inlineStr">
        <is>
          <t>NTE240</t>
        </is>
      </c>
      <c r="D65" s="24" t="inlineStr">
        <is>
          <t>NHLTBABAJSB200087</t>
        </is>
      </c>
      <c r="E65" s="24" t="inlineStr">
        <is>
          <t>257</t>
        </is>
      </c>
      <c r="F65" s="24" t="inlineStr">
        <is>
          <t>факт</t>
        </is>
      </c>
      <c r="G65" s="26" t="n">
        <v>45829</v>
      </c>
      <c r="H65" s="10">
        <f>IF(G65&lt;$D$5,$D$6,$D$7)</f>
        <v>12</v>
      </c>
      <c r="I65" s="26">
        <f>EDATE(G65,H65)</f>
        <v>46194</v>
      </c>
    </row>
    <row r="66">
      <c r="A66" s="24" t="n">
        <v>57</v>
      </c>
      <c r="B66" s="25" t="inlineStr">
        <is>
          <t>Полюс Красноярск</t>
        </is>
      </c>
      <c r="C66" s="24" t="inlineStr">
        <is>
          <t>NTE240</t>
        </is>
      </c>
      <c r="D66" s="24" t="inlineStr">
        <is>
          <t>NHLTBABAKSB200086</t>
        </is>
      </c>
      <c r="E66" s="24" t="inlineStr">
        <is>
          <t>256</t>
        </is>
      </c>
      <c r="F66" s="24" t="inlineStr">
        <is>
          <t>факт</t>
        </is>
      </c>
      <c r="G66" s="26" t="n">
        <v>45834</v>
      </c>
      <c r="H66" s="10">
        <f>IF(G66&lt;$D$5,$D$6,$D$7)</f>
        <v>12</v>
      </c>
      <c r="I66" s="26">
        <f>EDATE(G66,H66)</f>
        <v>46199</v>
      </c>
    </row>
    <row r="67">
      <c r="A67" s="24" t="n">
        <v>58</v>
      </c>
      <c r="B67" s="25" t="inlineStr">
        <is>
          <t>Полюс Красноярск</t>
        </is>
      </c>
      <c r="C67" s="24" t="inlineStr">
        <is>
          <t>NTE240</t>
        </is>
      </c>
      <c r="D67" s="24" t="inlineStr">
        <is>
          <t>NHLTBABAVSB200089</t>
        </is>
      </c>
      <c r="E67" s="24" t="inlineStr">
        <is>
          <t>259</t>
        </is>
      </c>
      <c r="F67" s="24" t="inlineStr">
        <is>
          <t>факт</t>
        </is>
      </c>
      <c r="G67" s="26" t="n">
        <v>45847</v>
      </c>
      <c r="H67" s="10">
        <f>IF(G67&lt;$D$5,$D$6,$D$7)</f>
        <v>12</v>
      </c>
      <c r="I67" s="26">
        <f>EDATE(G67,H67)</f>
        <v>46212</v>
      </c>
    </row>
    <row r="68">
      <c r="A68" s="24" t="n">
        <v>59</v>
      </c>
      <c r="B68" s="25" t="inlineStr">
        <is>
          <t>Полюс Красноярск</t>
        </is>
      </c>
      <c r="C68" s="24" t="inlineStr">
        <is>
          <t>NTE240</t>
        </is>
      </c>
      <c r="D68" s="24" t="inlineStr">
        <is>
          <t>NHLTBABACSB200088</t>
        </is>
      </c>
      <c r="E68" s="24" t="inlineStr">
        <is>
          <t>258</t>
        </is>
      </c>
      <c r="F68" s="24" t="inlineStr">
        <is>
          <t>факт</t>
        </is>
      </c>
      <c r="G68" s="26" t="n">
        <v>45854</v>
      </c>
      <c r="H68" s="10">
        <f>IF(G68&lt;$D$5,$D$6,$D$7)</f>
        <v>12</v>
      </c>
      <c r="I68" s="26">
        <f>EDATE(G68,H68)</f>
        <v>46219</v>
      </c>
    </row>
    <row r="69">
      <c r="A69" s="24" t="n">
        <v>60</v>
      </c>
      <c r="B69" s="25" t="inlineStr">
        <is>
          <t>Полюс Красноярск</t>
        </is>
      </c>
      <c r="C69" s="24" t="inlineStr">
        <is>
          <t>NTE240</t>
        </is>
      </c>
      <c r="D69" s="24" t="inlineStr">
        <is>
          <t>NHLTBABAJSB200090</t>
        </is>
      </c>
      <c r="E69" s="24" t="inlineStr">
        <is>
          <t>260</t>
        </is>
      </c>
      <c r="F69" s="24" t="inlineStr">
        <is>
          <t>факт</t>
        </is>
      </c>
      <c r="G69" s="26" t="n">
        <v>45857</v>
      </c>
      <c r="H69" s="10">
        <f>IF(G69&lt;$D$5,$D$6,$D$7)</f>
        <v>12</v>
      </c>
      <c r="I69" s="26">
        <f>EDATE(G69,H69)</f>
        <v>46222</v>
      </c>
    </row>
    <row r="70">
      <c r="A70" s="24" t="n">
        <v>61</v>
      </c>
      <c r="B70" s="25" t="inlineStr">
        <is>
          <t>Полюс Красноярск</t>
        </is>
      </c>
      <c r="C70" s="24" t="inlineStr">
        <is>
          <t>NTE240</t>
        </is>
      </c>
      <c r="D70" s="24" t="inlineStr">
        <is>
          <t>NHLTBABAСSB200091</t>
        </is>
      </c>
      <c r="E70" s="24" t="inlineStr">
        <is>
          <t>261</t>
        </is>
      </c>
      <c r="F70" s="24" t="inlineStr">
        <is>
          <t>факт</t>
        </is>
      </c>
      <c r="G70" s="26" t="n">
        <v>45864</v>
      </c>
      <c r="H70" s="10">
        <f>IF(G70&lt;$D$5,$D$6,$D$7)</f>
        <v>12</v>
      </c>
      <c r="I70" s="26">
        <f>EDATE(G70,H70)</f>
        <v>46229</v>
      </c>
    </row>
    <row r="71">
      <c r="A71" s="24" t="n">
        <v>62</v>
      </c>
      <c r="B71" s="25" t="inlineStr">
        <is>
          <t>Полюс Красноярск</t>
        </is>
      </c>
      <c r="C71" s="24" t="inlineStr">
        <is>
          <t>NTE240</t>
        </is>
      </c>
      <c r="D71" s="24" t="inlineStr">
        <is>
          <t>NHLTBABAVSB200092</t>
        </is>
      </c>
      <c r="E71" s="24" t="inlineStr">
        <is>
          <t>262</t>
        </is>
      </c>
      <c r="F71" s="24" t="inlineStr">
        <is>
          <t>факт</t>
        </is>
      </c>
      <c r="G71" s="26" t="n">
        <v>45872</v>
      </c>
      <c r="H71" s="10">
        <f>IF(G71&lt;$D$5,$D$6,$D$7)</f>
        <v>12</v>
      </c>
      <c r="I71" s="26">
        <f>EDATE(G71,H71)</f>
        <v>46237</v>
      </c>
    </row>
    <row r="72">
      <c r="A72" s="24" t="n">
        <v>63</v>
      </c>
      <c r="B72" s="25" t="inlineStr">
        <is>
          <t>Полюс Красноярск</t>
        </is>
      </c>
      <c r="C72" s="24" t="inlineStr">
        <is>
          <t>NTE240</t>
        </is>
      </c>
      <c r="D72" s="24" t="inlineStr">
        <is>
          <t>NHLTBABAASB200093</t>
        </is>
      </c>
      <c r="E72" s="24" t="inlineStr">
        <is>
          <t>263</t>
        </is>
      </c>
      <c r="F72" s="24" t="inlineStr">
        <is>
          <t>факт</t>
        </is>
      </c>
      <c r="G72" s="26" t="n">
        <v>45876</v>
      </c>
      <c r="H72" s="10">
        <f>IF(G72&lt;$D$5,$D$6,$D$7)</f>
        <v>12</v>
      </c>
      <c r="I72" s="26">
        <f>EDATE(G72,H72)</f>
        <v>46241</v>
      </c>
    </row>
    <row r="73">
      <c r="A73" s="24" t="n">
        <v>64</v>
      </c>
      <c r="B73" s="25" t="inlineStr">
        <is>
          <t>Полюс Красноярск</t>
        </is>
      </c>
      <c r="C73" s="24" t="inlineStr">
        <is>
          <t>NTE240</t>
        </is>
      </c>
      <c r="D73" s="24" t="inlineStr">
        <is>
          <t>NHLTBABALSB200094</t>
        </is>
      </c>
      <c r="E73" s="24" t="inlineStr">
        <is>
          <t>264</t>
        </is>
      </c>
      <c r="F73" s="24" t="inlineStr">
        <is>
          <t>факт</t>
        </is>
      </c>
      <c r="G73" s="26" t="n">
        <v>45885</v>
      </c>
      <c r="H73" s="10">
        <f>IF(G73&lt;$D$5,$D$6,$D$7)</f>
        <v>12</v>
      </c>
      <c r="I73" s="26">
        <f>EDATE(G73,H73)</f>
        <v>46250</v>
      </c>
    </row>
    <row r="74">
      <c r="A74" s="24" t="n">
        <v>65</v>
      </c>
      <c r="B74" s="25" t="inlineStr">
        <is>
          <t>Полюс Красноярск</t>
        </is>
      </c>
      <c r="C74" s="24" t="inlineStr">
        <is>
          <t>NTE240</t>
        </is>
      </c>
      <c r="D74" s="24" t="inlineStr">
        <is>
          <t>NHLTBABAHSB200095</t>
        </is>
      </c>
      <c r="E74" s="24" t="inlineStr">
        <is>
          <t>265</t>
        </is>
      </c>
      <c r="F74" s="24" t="inlineStr">
        <is>
          <t>факт</t>
        </is>
      </c>
      <c r="G74" s="26" t="n">
        <v>45890</v>
      </c>
      <c r="H74" s="10">
        <f>IF(G74&lt;$D$5,$D$6,$D$7)</f>
        <v>12</v>
      </c>
      <c r="I74" s="26">
        <f>EDATE(G74,H74)</f>
        <v>46255</v>
      </c>
    </row>
    <row r="75">
      <c r="A75" s="24" t="n">
        <v>66</v>
      </c>
      <c r="B75" s="25" t="inlineStr">
        <is>
          <t>Полюс Красноярск</t>
        </is>
      </c>
      <c r="C75" s="24" t="inlineStr">
        <is>
          <t>NTE240</t>
        </is>
      </c>
      <c r="D75" s="24" t="inlineStr">
        <is>
          <t>NHLTBABAESB200096</t>
        </is>
      </c>
      <c r="E75" s="24" t="inlineStr">
        <is>
          <t>266</t>
        </is>
      </c>
      <c r="F75" s="24" t="inlineStr">
        <is>
          <t>факт</t>
        </is>
      </c>
      <c r="G75" s="26" t="n">
        <v>45896</v>
      </c>
      <c r="H75" s="10">
        <f>IF(G75&lt;$D$5,$D$6,$D$7)</f>
        <v>12</v>
      </c>
      <c r="I75" s="26">
        <f>EDATE(G75,H75)</f>
        <v>46261</v>
      </c>
    </row>
    <row r="76">
      <c r="A76" s="24" t="n">
        <v>67</v>
      </c>
      <c r="B76" s="25" t="inlineStr">
        <is>
          <t>Полюс Красноярск</t>
        </is>
      </c>
      <c r="C76" s="24" t="inlineStr">
        <is>
          <t>NTE240</t>
        </is>
      </c>
      <c r="D76" s="24" t="inlineStr">
        <is>
          <t>NHLTBABACSB200097</t>
        </is>
      </c>
      <c r="E76" s="24" t="inlineStr">
        <is>
          <t>267</t>
        </is>
      </c>
      <c r="F76" s="24" t="inlineStr">
        <is>
          <t>факт</t>
        </is>
      </c>
      <c r="G76" s="26" t="n">
        <v>45904</v>
      </c>
      <c r="H76" s="10">
        <f>IF(G76&lt;$D$5,$D$6,$D$7)</f>
        <v>12</v>
      </c>
      <c r="I76" s="26">
        <f>EDATE(G76,H76)</f>
        <v>46269</v>
      </c>
    </row>
    <row r="77">
      <c r="A77" s="24" t="n">
        <v>68</v>
      </c>
      <c r="B77" s="25" t="inlineStr">
        <is>
          <t>Полюс Красноярск</t>
        </is>
      </c>
      <c r="C77" s="24" t="inlineStr">
        <is>
          <t>NTE240</t>
        </is>
      </c>
      <c r="D77" s="24" t="inlineStr">
        <is>
          <t>NHLTBABATSB200098</t>
        </is>
      </c>
      <c r="E77" s="24" t="inlineStr">
        <is>
          <t>268</t>
        </is>
      </c>
      <c r="F77" s="24" t="inlineStr">
        <is>
          <t>факт</t>
        </is>
      </c>
      <c r="G77" s="26" t="n">
        <v>45912</v>
      </c>
      <c r="H77" s="10">
        <f>IF(G77&lt;$D$5,$D$6,$D$7)</f>
        <v>12</v>
      </c>
      <c r="I77" s="26">
        <f>EDATE(G77,H77)</f>
        <v>46277</v>
      </c>
    </row>
    <row r="78">
      <c r="A78" s="24" t="n">
        <v>69</v>
      </c>
      <c r="B78" s="25" t="inlineStr">
        <is>
          <t>Полюс Красноярск</t>
        </is>
      </c>
      <c r="C78" s="24" t="inlineStr">
        <is>
          <t>NTE240</t>
        </is>
      </c>
      <c r="D78" s="24" t="inlineStr">
        <is>
          <t>NHLTBABAPSB200099</t>
        </is>
      </c>
      <c r="E78" s="24" t="inlineStr">
        <is>
          <t>269</t>
        </is>
      </c>
      <c r="F78" s="24" t="inlineStr">
        <is>
          <t>факт</t>
        </is>
      </c>
      <c r="G78" s="26" t="n">
        <v>45922</v>
      </c>
      <c r="H78" s="10">
        <f>IF(G78&lt;$D$5,$D$6,$D$7)</f>
        <v>12</v>
      </c>
      <c r="I78" s="26">
        <f>EDATE(G78,H78)</f>
        <v>46287</v>
      </c>
    </row>
    <row r="79">
      <c r="A79" s="24" t="n">
        <v>70</v>
      </c>
      <c r="B79" s="25" t="inlineStr">
        <is>
          <t>Полюс Красноярск</t>
        </is>
      </c>
      <c r="C79" s="24" t="inlineStr">
        <is>
          <t>NTE240</t>
        </is>
      </c>
      <c r="D79" s="24" t="inlineStr">
        <is>
          <t>NHLTBABAHSB200100</t>
        </is>
      </c>
      <c r="E79" s="24" t="inlineStr">
        <is>
          <t>270</t>
        </is>
      </c>
      <c r="F79" s="24" t="inlineStr">
        <is>
          <t>факт</t>
        </is>
      </c>
      <c r="G79" s="26" t="n">
        <v>45925</v>
      </c>
      <c r="H79" s="10">
        <f>IF(G79&lt;$D$5,$D$6,$D$7)</f>
        <v>12</v>
      </c>
      <c r="I79" s="26">
        <f>EDATE(G79,H79)</f>
        <v>46290</v>
      </c>
    </row>
    <row r="80">
      <c r="A80" s="24" t="n">
        <v>71</v>
      </c>
      <c r="B80" s="25" t="inlineStr">
        <is>
          <t>Полюс Красноярск</t>
        </is>
      </c>
      <c r="C80" s="24" t="inlineStr">
        <is>
          <t>NTE240</t>
        </is>
      </c>
      <c r="D80" s="24" t="inlineStr">
        <is>
          <t>NHLTBABAESB200101</t>
        </is>
      </c>
      <c r="E80" s="24" t="inlineStr">
        <is>
          <t>271</t>
        </is>
      </c>
      <c r="F80" s="24" t="inlineStr">
        <is>
          <t>факт</t>
        </is>
      </c>
      <c r="G80" s="26" t="n">
        <v>45933</v>
      </c>
      <c r="H80" s="10">
        <f>IF(G80&lt;$D$5,$D$6,$D$7)</f>
        <v>12</v>
      </c>
      <c r="I80" s="26">
        <f>EDATE(G80,H80)</f>
        <v>46298</v>
      </c>
    </row>
    <row r="81">
      <c r="A81" s="24" t="n">
        <v>72</v>
      </c>
      <c r="B81" s="25" t="inlineStr">
        <is>
          <t>Полюс Красноярск</t>
        </is>
      </c>
      <c r="C81" s="24" t="inlineStr">
        <is>
          <t>NTE240</t>
        </is>
      </c>
      <c r="D81" s="24" t="inlineStr">
        <is>
          <t>NHLTBABACSB200102</t>
        </is>
      </c>
      <c r="E81" s="24" t="inlineStr">
        <is>
          <t>272</t>
        </is>
      </c>
      <c r="F81" s="24" t="inlineStr">
        <is>
          <t>факт</t>
        </is>
      </c>
      <c r="G81" s="26" t="n">
        <v>45942</v>
      </c>
      <c r="H81" s="10">
        <f>IF(G81&lt;$D$5,$D$6,$D$7)</f>
        <v>24</v>
      </c>
      <c r="I81" s="26">
        <f>EDATE(G81,H81)</f>
        <v>46672</v>
      </c>
    </row>
    <row r="82">
      <c r="A82" s="24" t="n">
        <v>73</v>
      </c>
      <c r="B82" s="25" t="inlineStr">
        <is>
          <t>Полюс Красноярск</t>
        </is>
      </c>
      <c r="C82" s="24" t="inlineStr">
        <is>
          <t>NTE240</t>
        </is>
      </c>
      <c r="D82" s="24" t="inlineStr">
        <is>
          <t>NHLTBABATSB200103</t>
        </is>
      </c>
      <c r="E82" s="24" t="inlineStr">
        <is>
          <t>273</t>
        </is>
      </c>
      <c r="F82" s="24" t="inlineStr">
        <is>
          <t>факт</t>
        </is>
      </c>
      <c r="G82" s="26" t="n">
        <v>45944</v>
      </c>
      <c r="H82" s="10">
        <f>IF(G82&lt;$D$5,$D$6,$D$7)</f>
        <v>24</v>
      </c>
      <c r="I82" s="26">
        <f>EDATE(G82,H82)</f>
        <v>46674</v>
      </c>
    </row>
    <row r="83">
      <c r="A83" s="24" t="n">
        <v>74</v>
      </c>
      <c r="B83" s="25" t="inlineStr">
        <is>
          <t>Полюс Красноярск</t>
        </is>
      </c>
      <c r="C83" s="24" t="inlineStr">
        <is>
          <t>NTE240</t>
        </is>
      </c>
      <c r="D83" s="24" t="inlineStr">
        <is>
          <t>NHLTBABAPSB200104</t>
        </is>
      </c>
      <c r="E83" s="24" t="inlineStr">
        <is>
          <t>274</t>
        </is>
      </c>
      <c r="F83" s="24" t="inlineStr">
        <is>
          <t>факт</t>
        </is>
      </c>
      <c r="G83" s="26" t="n">
        <v>45950</v>
      </c>
      <c r="H83" s="10">
        <f>IF(G83&lt;$D$5,$D$6,$D$7)</f>
        <v>24</v>
      </c>
      <c r="I83" s="26">
        <f>EDATE(G83,H83)</f>
        <v>46680</v>
      </c>
    </row>
    <row r="84">
      <c r="A84" s="24" t="n">
        <v>75</v>
      </c>
      <c r="B84" s="25" t="inlineStr">
        <is>
          <t>Полюс Красноярск</t>
        </is>
      </c>
      <c r="C84" s="24" t="inlineStr">
        <is>
          <t>NTE240</t>
        </is>
      </c>
      <c r="D84" s="24" t="inlineStr">
        <is>
          <t>NHLTBABAKSB200105</t>
        </is>
      </c>
      <c r="E84" s="24" t="inlineStr">
        <is>
          <t>275</t>
        </is>
      </c>
      <c r="F84" s="24" t="inlineStr">
        <is>
          <t>факт</t>
        </is>
      </c>
      <c r="G84" s="26" t="n">
        <v>45958</v>
      </c>
      <c r="H84" s="10">
        <f>IF(G84&lt;$D$5,$D$6,$D$7)</f>
        <v>24</v>
      </c>
      <c r="I84" s="26">
        <f>EDATE(G84,H84)</f>
        <v>46688</v>
      </c>
    </row>
    <row r="85">
      <c r="A85" s="24" t="n">
        <v>76</v>
      </c>
      <c r="B85" s="25" t="inlineStr">
        <is>
          <t>Полюс Красноярск</t>
        </is>
      </c>
      <c r="C85" s="24" t="inlineStr">
        <is>
          <t>NTE240</t>
        </is>
      </c>
      <c r="D85" s="24" t="inlineStr"/>
      <c r="E85" s="24" t="inlineStr"/>
      <c r="F85" s="24" t="inlineStr">
        <is>
          <t>план</t>
        </is>
      </c>
      <c r="G85" s="26" t="n">
        <v>46058</v>
      </c>
      <c r="H85" s="10">
        <f>IF(G85&lt;$D$5,$D$6,$D$7)</f>
        <v>24</v>
      </c>
      <c r="I85" s="26">
        <f>EDATE(G85,H85)</f>
        <v>46788</v>
      </c>
    </row>
    <row r="86">
      <c r="A86" s="24" t="n">
        <v>77</v>
      </c>
      <c r="B86" s="25" t="inlineStr">
        <is>
          <t>Полюс Красноярск</t>
        </is>
      </c>
      <c r="C86" s="24" t="inlineStr">
        <is>
          <t>NTE240</t>
        </is>
      </c>
      <c r="D86" s="24" t="inlineStr"/>
      <c r="E86" s="24" t="inlineStr"/>
      <c r="F86" s="24" t="inlineStr">
        <is>
          <t>план</t>
        </is>
      </c>
      <c r="G86" s="26" t="n">
        <v>46063</v>
      </c>
      <c r="H86" s="10">
        <f>IF(G86&lt;$D$5,$D$6,$D$7)</f>
        <v>24</v>
      </c>
      <c r="I86" s="26">
        <f>EDATE(G86,H86)</f>
        <v>46793</v>
      </c>
    </row>
    <row r="87">
      <c r="A87" s="24" t="n">
        <v>78</v>
      </c>
      <c r="B87" s="25" t="inlineStr">
        <is>
          <t>Полюс Красноярск</t>
        </is>
      </c>
      <c r="C87" s="24" t="inlineStr">
        <is>
          <t>NTE240</t>
        </is>
      </c>
      <c r="D87" s="24" t="inlineStr"/>
      <c r="E87" s="24" t="inlineStr"/>
      <c r="F87" s="24" t="inlineStr">
        <is>
          <t>план</t>
        </is>
      </c>
      <c r="G87" s="26" t="n">
        <v>46073</v>
      </c>
      <c r="H87" s="10">
        <f>IF(G87&lt;$D$5,$D$6,$D$7)</f>
        <v>24</v>
      </c>
      <c r="I87" s="26">
        <f>EDATE(G87,H87)</f>
        <v>46803</v>
      </c>
    </row>
    <row r="88">
      <c r="A88" s="24" t="n">
        <v>79</v>
      </c>
      <c r="B88" s="25" t="inlineStr">
        <is>
          <t>Полюс Красноярск</t>
        </is>
      </c>
      <c r="C88" s="24" t="inlineStr">
        <is>
          <t>NTE240</t>
        </is>
      </c>
      <c r="D88" s="24" t="inlineStr">
        <is>
          <t>NHLTBABACSB2A0135</t>
        </is>
      </c>
      <c r="E88" s="24" t="inlineStr">
        <is>
          <t>276</t>
        </is>
      </c>
      <c r="F88" s="24" t="inlineStr">
        <is>
          <t>факт</t>
        </is>
      </c>
      <c r="G88" s="26" t="n">
        <v>46076</v>
      </c>
      <c r="H88" s="10">
        <f>IF(G88&lt;$D$5,$D$6,$D$7)</f>
        <v>24</v>
      </c>
      <c r="I88" s="26">
        <f>EDATE(G88,H88)</f>
        <v>46806</v>
      </c>
    </row>
    <row r="89">
      <c r="A89" s="24" t="n">
        <v>80</v>
      </c>
      <c r="B89" s="25" t="inlineStr">
        <is>
          <t>Полюс Красноярск</t>
        </is>
      </c>
      <c r="C89" s="24" t="inlineStr">
        <is>
          <t>NTE240</t>
        </is>
      </c>
      <c r="D89" s="24" t="inlineStr">
        <is>
          <t>NHLTBABAJSB2A0134</t>
        </is>
      </c>
      <c r="E89" s="24" t="inlineStr">
        <is>
          <t>277</t>
        </is>
      </c>
      <c r="F89" s="24" t="inlineStr">
        <is>
          <t>факт</t>
        </is>
      </c>
      <c r="G89" s="26" t="n">
        <v>46078</v>
      </c>
      <c r="H89" s="10">
        <f>IF(G89&lt;$D$5,$D$6,$D$7)</f>
        <v>24</v>
      </c>
      <c r="I89" s="26">
        <f>EDATE(G89,H89)</f>
        <v>46808</v>
      </c>
    </row>
    <row r="90">
      <c r="A90" s="24" t="n">
        <v>81</v>
      </c>
      <c r="B90" s="25" t="inlineStr">
        <is>
          <t>Полюс Красноярск</t>
        </is>
      </c>
      <c r="C90" s="24" t="inlineStr">
        <is>
          <t>NTE240</t>
        </is>
      </c>
      <c r="D90" s="24" t="inlineStr"/>
      <c r="E90" s="24" t="inlineStr"/>
      <c r="F90" s="24" t="inlineStr">
        <is>
          <t>план</t>
        </is>
      </c>
      <c r="G90" s="26" t="n">
        <v>46081</v>
      </c>
      <c r="H90" s="10">
        <f>IF(G90&lt;$D$5,$D$6,$D$7)</f>
        <v>24</v>
      </c>
      <c r="I90" s="26">
        <f>EDATE(G90,H90)</f>
        <v>46811</v>
      </c>
    </row>
    <row r="91">
      <c r="A91" s="24" t="n">
        <v>82</v>
      </c>
      <c r="B91" s="25" t="inlineStr">
        <is>
          <t>Полюс Красноярск</t>
        </is>
      </c>
      <c r="C91" s="24" t="inlineStr">
        <is>
          <t>NTE240</t>
        </is>
      </c>
      <c r="D91" s="24" t="inlineStr"/>
      <c r="E91" s="24" t="inlineStr"/>
      <c r="F91" s="24" t="inlineStr">
        <is>
          <t>план</t>
        </is>
      </c>
      <c r="G91" s="26" t="n">
        <v>46086</v>
      </c>
      <c r="H91" s="10">
        <f>IF(G91&lt;$D$5,$D$6,$D$7)</f>
        <v>24</v>
      </c>
      <c r="I91" s="26">
        <f>EDATE(G91,H91)</f>
        <v>46817</v>
      </c>
    </row>
    <row r="92">
      <c r="A92" s="24" t="n">
        <v>83</v>
      </c>
      <c r="B92" s="25" t="inlineStr">
        <is>
          <t>Полюс Красноярск</t>
        </is>
      </c>
      <c r="C92" s="24" t="inlineStr">
        <is>
          <t>NTE240</t>
        </is>
      </c>
      <c r="D92" s="24" t="inlineStr">
        <is>
          <t>NHLTBABAKSB2A0133</t>
        </is>
      </c>
      <c r="E92" s="24" t="inlineStr">
        <is>
          <t>278</t>
        </is>
      </c>
      <c r="F92" s="24" t="inlineStr">
        <is>
          <t>факт</t>
        </is>
      </c>
      <c r="G92" s="26" t="n">
        <v>46088</v>
      </c>
      <c r="H92" s="10">
        <f>IF(G92&lt;$D$5,$D$6,$D$7)</f>
        <v>24</v>
      </c>
      <c r="I92" s="26">
        <f>EDATE(G92,H92)</f>
        <v>46819</v>
      </c>
    </row>
    <row r="93">
      <c r="A93" s="24" t="n">
        <v>84</v>
      </c>
      <c r="B93" s="25" t="inlineStr">
        <is>
          <t>Полюс Красноярск</t>
        </is>
      </c>
      <c r="C93" s="24" t="inlineStr">
        <is>
          <t>NTE240</t>
        </is>
      </c>
      <c r="D93" s="24" t="inlineStr"/>
      <c r="E93" s="24" t="inlineStr"/>
      <c r="F93" s="24" t="inlineStr">
        <is>
          <t>план</t>
        </is>
      </c>
      <c r="G93" s="26" t="n">
        <v>46091</v>
      </c>
      <c r="H93" s="10">
        <f>IF(G93&lt;$D$5,$D$6,$D$7)</f>
        <v>24</v>
      </c>
      <c r="I93" s="26">
        <f>EDATE(G93,H93)</f>
        <v>46822</v>
      </c>
    </row>
    <row r="94">
      <c r="A94" s="24" t="n">
        <v>85</v>
      </c>
      <c r="B94" s="25" t="inlineStr">
        <is>
          <t>Полюс Красноярск</t>
        </is>
      </c>
      <c r="C94" s="24" t="inlineStr">
        <is>
          <t>NTE240</t>
        </is>
      </c>
      <c r="D94" s="24" t="inlineStr"/>
      <c r="E94" s="24" t="inlineStr"/>
      <c r="F94" s="24" t="inlineStr">
        <is>
          <t>план</t>
        </is>
      </c>
      <c r="G94" s="26" t="n">
        <v>46101</v>
      </c>
      <c r="H94" s="10">
        <f>IF(G94&lt;$D$5,$D$6,$D$7)</f>
        <v>24</v>
      </c>
      <c r="I94" s="26">
        <f>EDATE(G94,H94)</f>
        <v>46832</v>
      </c>
    </row>
    <row r="95">
      <c r="A95" s="24" t="n">
        <v>86</v>
      </c>
      <c r="B95" s="25" t="inlineStr">
        <is>
          <t>Полюс Красноярск</t>
        </is>
      </c>
      <c r="C95" s="24" t="inlineStr">
        <is>
          <t>NTE240</t>
        </is>
      </c>
      <c r="D95" s="24" t="inlineStr">
        <is>
          <t>NHLTBABAVSB2A0136</t>
        </is>
      </c>
      <c r="E95" s="24" t="inlineStr">
        <is>
          <t>279</t>
        </is>
      </c>
      <c r="F95" s="24" t="inlineStr">
        <is>
          <t>факт</t>
        </is>
      </c>
      <c r="G95" s="26" t="n">
        <v>46102</v>
      </c>
      <c r="H95" s="10">
        <f>IF(G95&lt;$D$5,$D$6,$D$7)</f>
        <v>24</v>
      </c>
      <c r="I95" s="26">
        <f>EDATE(G95,H95)</f>
        <v>46833</v>
      </c>
    </row>
    <row r="96">
      <c r="A96" s="24" t="n">
        <v>87</v>
      </c>
      <c r="B96" s="25" t="inlineStr">
        <is>
          <t>Полюс Красноярск</t>
        </is>
      </c>
      <c r="C96" s="24" t="inlineStr">
        <is>
          <t>NTE240</t>
        </is>
      </c>
      <c r="D96" s="24" t="inlineStr">
        <is>
          <t>NHLTBABAHSB2A0139</t>
        </is>
      </c>
      <c r="E96" s="24" t="inlineStr">
        <is>
          <t>280</t>
        </is>
      </c>
      <c r="F96" s="24" t="inlineStr">
        <is>
          <t>факт</t>
        </is>
      </c>
      <c r="G96" s="26" t="n">
        <v>46106</v>
      </c>
      <c r="H96" s="10">
        <f>IF(G96&lt;$D$5,$D$6,$D$7)</f>
        <v>24</v>
      </c>
      <c r="I96" s="26">
        <f>EDATE(G96,H96)</f>
        <v>46837</v>
      </c>
    </row>
    <row r="97">
      <c r="A97" s="24" t="n">
        <v>88</v>
      </c>
      <c r="B97" s="25" t="inlineStr">
        <is>
          <t>Полюс Красноярск</t>
        </is>
      </c>
      <c r="C97" s="24" t="inlineStr">
        <is>
          <t>NTE240</t>
        </is>
      </c>
      <c r="D97" s="24" t="inlineStr">
        <is>
          <t>NHLTBABAASB2A0137</t>
        </is>
      </c>
      <c r="E97" s="24" t="inlineStr">
        <is>
          <t>281</t>
        </is>
      </c>
      <c r="F97" s="24" t="inlineStr">
        <is>
          <t>факт</t>
        </is>
      </c>
      <c r="G97" s="26" t="n">
        <v>46109</v>
      </c>
      <c r="H97" s="10">
        <f>IF(G97&lt;$D$5,$D$6,$D$7)</f>
        <v>24</v>
      </c>
      <c r="I97" s="26">
        <f>EDATE(G97,H97)</f>
        <v>46840</v>
      </c>
    </row>
    <row r="98">
      <c r="A98" s="24" t="n">
        <v>89</v>
      </c>
      <c r="B98" s="25" t="inlineStr">
        <is>
          <t>Полюс Красноярск</t>
        </is>
      </c>
      <c r="C98" s="24" t="inlineStr">
        <is>
          <t>NTE240</t>
        </is>
      </c>
      <c r="D98" s="24" t="inlineStr"/>
      <c r="E98" s="24" t="inlineStr"/>
      <c r="F98" s="24" t="inlineStr">
        <is>
          <t>план</t>
        </is>
      </c>
      <c r="G98" s="26" t="n">
        <v>46109</v>
      </c>
      <c r="H98" s="10">
        <f>IF(G98&lt;$D$5,$D$6,$D$7)</f>
        <v>24</v>
      </c>
      <c r="I98" s="26">
        <f>EDATE(G98,H98)</f>
        <v>46840</v>
      </c>
    </row>
    <row r="99">
      <c r="A99" s="24" t="n">
        <v>90</v>
      </c>
      <c r="B99" s="25" t="inlineStr">
        <is>
          <t>Полюс Красноярск</t>
        </is>
      </c>
      <c r="C99" s="24" t="inlineStr">
        <is>
          <t>NTE240</t>
        </is>
      </c>
      <c r="D99" s="24" t="inlineStr">
        <is>
          <t>NHLTBABALSB2A0141</t>
        </is>
      </c>
      <c r="E99" s="24" t="inlineStr">
        <is>
          <t>282</t>
        </is>
      </c>
      <c r="F99" s="24" t="inlineStr">
        <is>
          <t>факт</t>
        </is>
      </c>
      <c r="G99" s="26" t="n">
        <v>46117</v>
      </c>
      <c r="H99" s="10">
        <f>IF(G99&lt;$D$5,$D$6,$D$7)</f>
        <v>24</v>
      </c>
      <c r="I99" s="26">
        <f>EDATE(G99,H99)</f>
        <v>46848</v>
      </c>
    </row>
    <row r="100">
      <c r="A100" s="24" t="n">
        <v>91</v>
      </c>
      <c r="B100" s="25" t="inlineStr">
        <is>
          <t>Полюс Красноярск</t>
        </is>
      </c>
      <c r="C100" s="24" t="inlineStr">
        <is>
          <t>NTE240</t>
        </is>
      </c>
      <c r="D100" s="24" t="inlineStr">
        <is>
          <t>NHLTBABACSB2A0144</t>
        </is>
      </c>
      <c r="E100" s="24" t="inlineStr">
        <is>
          <t>283</t>
        </is>
      </c>
      <c r="F100" s="24" t="inlineStr">
        <is>
          <t>факт</t>
        </is>
      </c>
      <c r="G100" s="26" t="n">
        <v>46120</v>
      </c>
      <c r="H100" s="10">
        <f>IF(G100&lt;$D$5,$D$6,$D$7)</f>
        <v>24</v>
      </c>
      <c r="I100" s="26">
        <f>EDATE(G100,H100)</f>
        <v>46851</v>
      </c>
    </row>
    <row r="101">
      <c r="A101" s="24" t="n">
        <v>92</v>
      </c>
      <c r="B101" s="25" t="inlineStr">
        <is>
          <t>Полюс Красноярск</t>
        </is>
      </c>
      <c r="C101" s="24" t="inlineStr">
        <is>
          <t>NTE240</t>
        </is>
      </c>
      <c r="D101" s="24" t="inlineStr"/>
      <c r="E101" s="24" t="inlineStr">
        <is>
          <t>285</t>
        </is>
      </c>
      <c r="F101" s="24" t="inlineStr">
        <is>
          <t>план</t>
        </is>
      </c>
      <c r="G101" s="26" t="n">
        <v>46124</v>
      </c>
      <c r="H101" s="10">
        <f>IF(G101&lt;$D$5,$D$6,$D$7)</f>
        <v>24</v>
      </c>
      <c r="I101" s="26">
        <f>EDATE(G101,H101)</f>
        <v>46855</v>
      </c>
    </row>
    <row r="102">
      <c r="A102" s="24" t="n">
        <v>93</v>
      </c>
      <c r="B102" s="25" t="inlineStr">
        <is>
          <t>Полюс Красноярск</t>
        </is>
      </c>
      <c r="C102" s="24" t="inlineStr">
        <is>
          <t>NTE240</t>
        </is>
      </c>
      <c r="D102" s="24" t="inlineStr"/>
      <c r="E102" s="24" t="inlineStr">
        <is>
          <t>286</t>
        </is>
      </c>
      <c r="F102" s="24" t="inlineStr">
        <is>
          <t>план</t>
        </is>
      </c>
      <c r="G102" s="26" t="n">
        <v>46129</v>
      </c>
      <c r="H102" s="10">
        <f>IF(G102&lt;$D$5,$D$6,$D$7)</f>
        <v>24</v>
      </c>
      <c r="I102" s="26">
        <f>EDATE(G102,H102)</f>
        <v>46860</v>
      </c>
    </row>
    <row r="103">
      <c r="A103" s="24" t="n">
        <v>94</v>
      </c>
      <c r="B103" s="25" t="inlineStr">
        <is>
          <t>Полюс Красноярск</t>
        </is>
      </c>
      <c r="C103" s="24" t="inlineStr">
        <is>
          <t>NTE240</t>
        </is>
      </c>
      <c r="D103" s="24" t="inlineStr"/>
      <c r="E103" s="24" t="inlineStr">
        <is>
          <t>287</t>
        </is>
      </c>
      <c r="F103" s="24" t="inlineStr">
        <is>
          <t>план</t>
        </is>
      </c>
      <c r="G103" s="26" t="n">
        <v>46130</v>
      </c>
      <c r="H103" s="10">
        <f>IF(G103&lt;$D$5,$D$6,$D$7)</f>
        <v>24</v>
      </c>
      <c r="I103" s="26">
        <f>EDATE(G103,H103)</f>
        <v>46861</v>
      </c>
    </row>
    <row r="104">
      <c r="A104" s="24" t="n">
        <v>95</v>
      </c>
      <c r="B104" s="25" t="inlineStr">
        <is>
          <t>Полюс Красноярск</t>
        </is>
      </c>
      <c r="C104" s="24" t="inlineStr">
        <is>
          <t>NTE240</t>
        </is>
      </c>
      <c r="D104" s="24" t="inlineStr"/>
      <c r="E104" s="24" t="inlineStr">
        <is>
          <t>288</t>
        </is>
      </c>
      <c r="F104" s="24" t="inlineStr">
        <is>
          <t>план</t>
        </is>
      </c>
      <c r="G104" s="26" t="n">
        <v>46135</v>
      </c>
      <c r="H104" s="10">
        <f>IF(G104&lt;$D$5,$D$6,$D$7)</f>
        <v>24</v>
      </c>
      <c r="I104" s="26">
        <f>EDATE(G104,H104)</f>
        <v>46866</v>
      </c>
    </row>
    <row r="105">
      <c r="A105" s="24" t="n">
        <v>96</v>
      </c>
      <c r="B105" s="25" t="inlineStr">
        <is>
          <t>Полюс Красноярск</t>
        </is>
      </c>
      <c r="C105" s="24" t="inlineStr">
        <is>
          <t>NTE240</t>
        </is>
      </c>
      <c r="D105" s="24" t="inlineStr"/>
      <c r="E105" s="24" t="inlineStr">
        <is>
          <t>289</t>
        </is>
      </c>
      <c r="F105" s="24" t="inlineStr">
        <is>
          <t>план</t>
        </is>
      </c>
      <c r="G105" s="26" t="n">
        <v>46143</v>
      </c>
      <c r="H105" s="10">
        <f>IF(G105&lt;$D$5,$D$6,$D$7)</f>
        <v>24</v>
      </c>
      <c r="I105" s="26">
        <f>EDATE(G105,H105)</f>
        <v>46874</v>
      </c>
    </row>
    <row r="106">
      <c r="A106" s="24" t="n">
        <v>97</v>
      </c>
      <c r="B106" s="25" t="inlineStr">
        <is>
          <t>Полюс Красноярск</t>
        </is>
      </c>
      <c r="C106" s="24" t="inlineStr">
        <is>
          <t>NTE240</t>
        </is>
      </c>
      <c r="D106" s="24" t="inlineStr"/>
      <c r="E106" s="24" t="inlineStr">
        <is>
          <t>290</t>
        </is>
      </c>
      <c r="F106" s="24" t="inlineStr">
        <is>
          <t>план</t>
        </is>
      </c>
      <c r="G106" s="26" t="n">
        <v>46147</v>
      </c>
      <c r="H106" s="10">
        <f>IF(G106&lt;$D$5,$D$6,$D$7)</f>
        <v>24</v>
      </c>
      <c r="I106" s="26">
        <f>EDATE(G106,H106)</f>
        <v>46878</v>
      </c>
    </row>
    <row r="107">
      <c r="A107" s="24" t="n">
        <v>98</v>
      </c>
      <c r="B107" s="25" t="inlineStr">
        <is>
          <t>Полюс Красноярск</t>
        </is>
      </c>
      <c r="C107" s="24" t="inlineStr">
        <is>
          <t>NTE240</t>
        </is>
      </c>
      <c r="D107" s="24" t="inlineStr"/>
      <c r="E107" s="24" t="inlineStr">
        <is>
          <t>291</t>
        </is>
      </c>
      <c r="F107" s="24" t="inlineStr">
        <is>
          <t>план</t>
        </is>
      </c>
      <c r="G107" s="26" t="n">
        <v>46152</v>
      </c>
      <c r="H107" s="10">
        <f>IF(G107&lt;$D$5,$D$6,$D$7)</f>
        <v>24</v>
      </c>
      <c r="I107" s="26">
        <f>EDATE(G107,H107)</f>
        <v>46883</v>
      </c>
    </row>
    <row r="108">
      <c r="A108" s="24" t="n">
        <v>99</v>
      </c>
      <c r="B108" s="25" t="inlineStr">
        <is>
          <t>Полюс Красноярск</t>
        </is>
      </c>
      <c r="C108" s="24" t="inlineStr">
        <is>
          <t>NTE240</t>
        </is>
      </c>
      <c r="D108" s="24" t="inlineStr"/>
      <c r="E108" s="24" t="inlineStr">
        <is>
          <t>293</t>
        </is>
      </c>
      <c r="F108" s="24" t="inlineStr">
        <is>
          <t>план</t>
        </is>
      </c>
      <c r="G108" s="26" t="n">
        <v>46157</v>
      </c>
      <c r="H108" s="10">
        <f>IF(G108&lt;$D$5,$D$6,$D$7)</f>
        <v>24</v>
      </c>
      <c r="I108" s="26">
        <f>EDATE(G108,H108)</f>
        <v>46888</v>
      </c>
    </row>
    <row r="109">
      <c r="A109" s="24" t="n">
        <v>100</v>
      </c>
      <c r="B109" s="25" t="inlineStr">
        <is>
          <t>Полюс Красноярск</t>
        </is>
      </c>
      <c r="C109" s="24" t="inlineStr">
        <is>
          <t>NTE240</t>
        </is>
      </c>
      <c r="D109" s="24" t="inlineStr"/>
      <c r="E109" s="24" t="inlineStr">
        <is>
          <t>294</t>
        </is>
      </c>
      <c r="F109" s="24" t="inlineStr">
        <is>
          <t>план</t>
        </is>
      </c>
      <c r="G109" s="26" t="n">
        <v>46159</v>
      </c>
      <c r="H109" s="10">
        <f>IF(G109&lt;$D$5,$D$6,$D$7)</f>
        <v>24</v>
      </c>
      <c r="I109" s="26">
        <f>EDATE(G109,H109)</f>
        <v>46890</v>
      </c>
    </row>
    <row r="110">
      <c r="A110" s="24" t="n">
        <v>101</v>
      </c>
      <c r="B110" s="25" t="inlineStr">
        <is>
          <t>Полюс Красноярск</t>
        </is>
      </c>
      <c r="C110" s="24" t="inlineStr">
        <is>
          <t>NTE240</t>
        </is>
      </c>
      <c r="D110" s="24" t="inlineStr"/>
      <c r="E110" s="24" t="inlineStr">
        <is>
          <t>295</t>
        </is>
      </c>
      <c r="F110" s="24" t="inlineStr">
        <is>
          <t>план</t>
        </is>
      </c>
      <c r="G110" s="26" t="n">
        <v>46174</v>
      </c>
      <c r="H110" s="10">
        <f>IF(G110&lt;$D$5,$D$6,$D$7)</f>
        <v>24</v>
      </c>
      <c r="I110" s="26">
        <f>EDATE(G110,H110)</f>
        <v>46905</v>
      </c>
    </row>
    <row r="111">
      <c r="A111" s="24" t="n">
        <v>102</v>
      </c>
      <c r="B111" s="25" t="inlineStr">
        <is>
          <t>Полюс Красноярск</t>
        </is>
      </c>
      <c r="C111" s="24" t="inlineStr">
        <is>
          <t>NTE240</t>
        </is>
      </c>
      <c r="D111" s="24" t="inlineStr"/>
      <c r="E111" s="24" t="inlineStr">
        <is>
          <t>296</t>
        </is>
      </c>
      <c r="F111" s="24" t="inlineStr">
        <is>
          <t>план</t>
        </is>
      </c>
      <c r="G111" s="26" t="n">
        <v>46176</v>
      </c>
      <c r="H111" s="10">
        <f>IF(G111&lt;$D$5,$D$6,$D$7)</f>
        <v>24</v>
      </c>
      <c r="I111" s="26">
        <f>EDATE(G111,H111)</f>
        <v>46907</v>
      </c>
    </row>
    <row r="112">
      <c r="A112" s="24" t="n">
        <v>103</v>
      </c>
      <c r="B112" s="25" t="inlineStr">
        <is>
          <t>Полюс Красноярск</t>
        </is>
      </c>
      <c r="C112" s="24" t="inlineStr">
        <is>
          <t>NTE240</t>
        </is>
      </c>
      <c r="D112" s="24" t="inlineStr"/>
      <c r="E112" s="24" t="inlineStr">
        <is>
          <t>297</t>
        </is>
      </c>
      <c r="F112" s="24" t="inlineStr">
        <is>
          <t>план</t>
        </is>
      </c>
      <c r="G112" s="26" t="n">
        <v>46178</v>
      </c>
      <c r="H112" s="10">
        <f>IF(G112&lt;$D$5,$D$6,$D$7)</f>
        <v>24</v>
      </c>
      <c r="I112" s="26">
        <f>EDATE(G112,H112)</f>
        <v>46909</v>
      </c>
    </row>
    <row r="113">
      <c r="A113" s="24" t="n">
        <v>104</v>
      </c>
      <c r="B113" s="25" t="inlineStr">
        <is>
          <t>Полюс Красноярск</t>
        </is>
      </c>
      <c r="C113" s="24" t="inlineStr">
        <is>
          <t>NTE240</t>
        </is>
      </c>
      <c r="D113" s="24" t="inlineStr"/>
      <c r="E113" s="24" t="inlineStr">
        <is>
          <t>298</t>
        </is>
      </c>
      <c r="F113" s="24" t="inlineStr">
        <is>
          <t>план</t>
        </is>
      </c>
      <c r="G113" s="26" t="n">
        <v>46183</v>
      </c>
      <c r="H113" s="10">
        <f>IF(G113&lt;$D$5,$D$6,$D$7)</f>
        <v>24</v>
      </c>
      <c r="I113" s="26">
        <f>EDATE(G113,H113)</f>
        <v>46914</v>
      </c>
    </row>
    <row r="114">
      <c r="A114" s="24" t="n">
        <v>105</v>
      </c>
      <c r="B114" s="25" t="inlineStr">
        <is>
          <t>Полюс Красноярск</t>
        </is>
      </c>
      <c r="C114" s="24" t="inlineStr">
        <is>
          <t>NTE240</t>
        </is>
      </c>
      <c r="D114" s="24" t="inlineStr"/>
      <c r="E114" s="24" t="inlineStr">
        <is>
          <t>299</t>
        </is>
      </c>
      <c r="F114" s="24" t="inlineStr">
        <is>
          <t>план</t>
        </is>
      </c>
      <c r="G114" s="26" t="n">
        <v>46185</v>
      </c>
      <c r="H114" s="10">
        <f>IF(G114&lt;$D$5,$D$6,$D$7)</f>
        <v>24</v>
      </c>
      <c r="I114" s="26">
        <f>EDATE(G114,H114)</f>
        <v>46916</v>
      </c>
    </row>
    <row r="115">
      <c r="A115" s="24" t="n">
        <v>106</v>
      </c>
      <c r="B115" s="25" t="inlineStr">
        <is>
          <t>Полюс Красноярск</t>
        </is>
      </c>
      <c r="C115" s="24" t="inlineStr">
        <is>
          <t>NTE240</t>
        </is>
      </c>
      <c r="D115" s="24" t="inlineStr"/>
      <c r="E115" s="24" t="inlineStr">
        <is>
          <t>607</t>
        </is>
      </c>
      <c r="F115" s="24" t="inlineStr">
        <is>
          <t>план</t>
        </is>
      </c>
      <c r="G115" s="26" t="n">
        <v>46188</v>
      </c>
      <c r="H115" s="10">
        <f>IF(G115&lt;$D$5,$D$6,$D$7)</f>
        <v>24</v>
      </c>
      <c r="I115" s="26">
        <f>EDATE(G115,H115)</f>
        <v>46919</v>
      </c>
    </row>
    <row r="116">
      <c r="A116" s="24" t="n">
        <v>107</v>
      </c>
      <c r="B116" s="25" t="inlineStr">
        <is>
          <t>Полюс Красноярск</t>
        </is>
      </c>
      <c r="C116" s="24" t="inlineStr">
        <is>
          <t>NTE240</t>
        </is>
      </c>
      <c r="D116" s="24" t="inlineStr"/>
      <c r="E116" s="24" t="inlineStr">
        <is>
          <t>608</t>
        </is>
      </c>
      <c r="F116" s="24" t="inlineStr">
        <is>
          <t>план</t>
        </is>
      </c>
      <c r="G116" s="26" t="n">
        <v>46205</v>
      </c>
      <c r="H116" s="10">
        <f>IF(G116&lt;$D$5,$D$6,$D$7)</f>
        <v>24</v>
      </c>
      <c r="I116" s="26">
        <f>EDATE(G116,H116)</f>
        <v>46936</v>
      </c>
    </row>
    <row r="117">
      <c r="A117" s="24" t="n">
        <v>108</v>
      </c>
      <c r="B117" s="25" t="inlineStr">
        <is>
          <t>Полюс Красноярск</t>
        </is>
      </c>
      <c r="C117" s="24" t="inlineStr">
        <is>
          <t>NTE240</t>
        </is>
      </c>
      <c r="D117" s="24" t="inlineStr"/>
      <c r="E117" s="24" t="inlineStr">
        <is>
          <t>609</t>
        </is>
      </c>
      <c r="F117" s="24" t="inlineStr">
        <is>
          <t>план</t>
        </is>
      </c>
      <c r="G117" s="26" t="n">
        <v>46208</v>
      </c>
      <c r="H117" s="10">
        <f>IF(G117&lt;$D$5,$D$6,$D$7)</f>
        <v>24</v>
      </c>
      <c r="I117" s="26">
        <f>EDATE(G117,H117)</f>
        <v>46939</v>
      </c>
    </row>
    <row r="118">
      <c r="A118" s="24" t="n">
        <v>109</v>
      </c>
      <c r="B118" s="25" t="inlineStr">
        <is>
          <t>Полюс Красноярск</t>
        </is>
      </c>
      <c r="C118" s="24" t="inlineStr">
        <is>
          <t>NTE240</t>
        </is>
      </c>
      <c r="D118" s="24" t="inlineStr"/>
      <c r="E118" s="24" t="inlineStr">
        <is>
          <t>610</t>
        </is>
      </c>
      <c r="F118" s="24" t="inlineStr">
        <is>
          <t>план</t>
        </is>
      </c>
      <c r="G118" s="26" t="n">
        <v>46328</v>
      </c>
      <c r="H118" s="10">
        <f>IF(G118&lt;$D$5,$D$6,$D$7)</f>
        <v>24</v>
      </c>
      <c r="I118" s="26">
        <f>EDATE(G118,H118)</f>
        <v>47059</v>
      </c>
    </row>
    <row r="119">
      <c r="A119" s="24" t="n">
        <v>110</v>
      </c>
      <c r="B119" s="25" t="inlineStr">
        <is>
          <t>Полюс Красноярск</t>
        </is>
      </c>
      <c r="C119" s="24" t="inlineStr">
        <is>
          <t>NTE240</t>
        </is>
      </c>
      <c r="D119" s="24" t="inlineStr"/>
      <c r="E119" s="24" t="inlineStr">
        <is>
          <t>611</t>
        </is>
      </c>
      <c r="F119" s="24" t="inlineStr">
        <is>
          <t>план</t>
        </is>
      </c>
      <c r="G119" s="26" t="n">
        <v>46328</v>
      </c>
      <c r="H119" s="10">
        <f>IF(G119&lt;$D$5,$D$6,$D$7)</f>
        <v>24</v>
      </c>
      <c r="I119" s="26">
        <f>EDATE(G119,H119)</f>
        <v>47059</v>
      </c>
    </row>
    <row r="120">
      <c r="A120" s="24" t="n">
        <v>111</v>
      </c>
      <c r="B120" s="25" t="inlineStr">
        <is>
          <t>Полюс Красноярск</t>
        </is>
      </c>
      <c r="C120" s="24" t="inlineStr">
        <is>
          <t>NTE240</t>
        </is>
      </c>
      <c r="D120" s="24" t="inlineStr"/>
      <c r="E120" s="24" t="inlineStr">
        <is>
          <t>612</t>
        </is>
      </c>
      <c r="F120" s="24" t="inlineStr">
        <is>
          <t>план</t>
        </is>
      </c>
      <c r="G120" s="26" t="n">
        <v>46331</v>
      </c>
      <c r="H120" s="10">
        <f>IF(G120&lt;$D$5,$D$6,$D$7)</f>
        <v>24</v>
      </c>
      <c r="I120" s="26">
        <f>EDATE(G120,H120)</f>
        <v>47062</v>
      </c>
    </row>
    <row r="121">
      <c r="A121" s="24" t="n">
        <v>112</v>
      </c>
      <c r="B121" s="25" t="inlineStr">
        <is>
          <t>Полюс Красноярск</t>
        </is>
      </c>
      <c r="C121" s="24" t="inlineStr">
        <is>
          <t>NTE240</t>
        </is>
      </c>
      <c r="D121" s="24" t="inlineStr"/>
      <c r="E121" s="24" t="inlineStr">
        <is>
          <t>614</t>
        </is>
      </c>
      <c r="F121" s="24" t="inlineStr">
        <is>
          <t>план</t>
        </is>
      </c>
      <c r="G121" s="26" t="n">
        <v>46333</v>
      </c>
      <c r="H121" s="10">
        <f>IF(G121&lt;$D$5,$D$6,$D$7)</f>
        <v>24</v>
      </c>
      <c r="I121" s="26">
        <f>EDATE(G121,H121)</f>
        <v>47064</v>
      </c>
    </row>
    <row r="122">
      <c r="A122" s="24" t="n">
        <v>113</v>
      </c>
      <c r="B122" s="25" t="inlineStr">
        <is>
          <t>Полюс Красноярск</t>
        </is>
      </c>
      <c r="C122" s="24" t="inlineStr">
        <is>
          <t>NTE240</t>
        </is>
      </c>
      <c r="D122" s="24" t="inlineStr"/>
      <c r="E122" s="24" t="inlineStr">
        <is>
          <t>615</t>
        </is>
      </c>
      <c r="F122" s="24" t="inlineStr">
        <is>
          <t>план</t>
        </is>
      </c>
      <c r="G122" s="26" t="n">
        <v>46335</v>
      </c>
      <c r="H122" s="10">
        <f>IF(G122&lt;$D$5,$D$6,$D$7)</f>
        <v>24</v>
      </c>
      <c r="I122" s="26">
        <f>EDATE(G122,H122)</f>
        <v>47066</v>
      </c>
    </row>
    <row r="123">
      <c r="A123" s="24" t="n">
        <v>114</v>
      </c>
      <c r="B123" s="25" t="inlineStr">
        <is>
          <t>Полюс Красноярск</t>
        </is>
      </c>
      <c r="C123" s="24" t="inlineStr">
        <is>
          <t>NTE240</t>
        </is>
      </c>
      <c r="D123" s="24" t="inlineStr"/>
      <c r="E123" s="24" t="inlineStr">
        <is>
          <t>616</t>
        </is>
      </c>
      <c r="F123" s="24" t="inlineStr">
        <is>
          <t>план</t>
        </is>
      </c>
      <c r="G123" s="26" t="n">
        <v>46338</v>
      </c>
      <c r="H123" s="10">
        <f>IF(G123&lt;$D$5,$D$6,$D$7)</f>
        <v>24</v>
      </c>
      <c r="I123" s="26">
        <f>EDATE(G123,H123)</f>
        <v>47069</v>
      </c>
    </row>
    <row r="124">
      <c r="A124" s="24" t="n">
        <v>115</v>
      </c>
      <c r="B124" s="25" t="inlineStr">
        <is>
          <t>Полюс Красноярск</t>
        </is>
      </c>
      <c r="C124" s="24" t="inlineStr">
        <is>
          <t>NTE240</t>
        </is>
      </c>
      <c r="D124" s="24" t="inlineStr"/>
      <c r="E124" s="24" t="inlineStr">
        <is>
          <t>617</t>
        </is>
      </c>
      <c r="F124" s="24" t="inlineStr">
        <is>
          <t>план</t>
        </is>
      </c>
      <c r="G124" s="26" t="n">
        <v>46357</v>
      </c>
      <c r="H124" s="10">
        <f>IF(G124&lt;$D$5,$D$6,$D$7)</f>
        <v>24</v>
      </c>
      <c r="I124" s="26">
        <f>EDATE(G124,H124)</f>
        <v>47088</v>
      </c>
    </row>
    <row r="125">
      <c r="A125" s="24" t="n">
        <v>116</v>
      </c>
      <c r="B125" s="25" t="inlineStr">
        <is>
          <t>Полюс Красноярск</t>
        </is>
      </c>
      <c r="C125" s="24" t="inlineStr">
        <is>
          <t>NTE240</t>
        </is>
      </c>
      <c r="D125" s="24" t="inlineStr"/>
      <c r="E125" s="24" t="inlineStr">
        <is>
          <t>618</t>
        </is>
      </c>
      <c r="F125" s="24" t="inlineStr">
        <is>
          <t>план</t>
        </is>
      </c>
      <c r="G125" s="26" t="n">
        <v>46357</v>
      </c>
      <c r="H125" s="10">
        <f>IF(G125&lt;$D$5,$D$6,$D$7)</f>
        <v>24</v>
      </c>
      <c r="I125" s="26">
        <f>EDATE(G125,H125)</f>
        <v>47088</v>
      </c>
    </row>
    <row r="126">
      <c r="A126" s="24" t="n">
        <v>117</v>
      </c>
      <c r="B126" s="25" t="inlineStr">
        <is>
          <t>Полюс Красноярск</t>
        </is>
      </c>
      <c r="C126" s="24" t="inlineStr">
        <is>
          <t>NTE240</t>
        </is>
      </c>
      <c r="D126" s="24" t="inlineStr"/>
      <c r="E126" s="24" t="inlineStr">
        <is>
          <t>619</t>
        </is>
      </c>
      <c r="F126" s="24" t="inlineStr">
        <is>
          <t>план</t>
        </is>
      </c>
      <c r="G126" s="26" t="n">
        <v>46361</v>
      </c>
      <c r="H126" s="10">
        <f>IF(G126&lt;$D$5,$D$6,$D$7)</f>
        <v>24</v>
      </c>
      <c r="I126" s="26">
        <f>EDATE(G126,H126)</f>
        <v>47092</v>
      </c>
    </row>
    <row r="127">
      <c r="A127" s="24" t="n">
        <v>118</v>
      </c>
      <c r="B127" s="25" t="inlineStr">
        <is>
          <t>Полюс Красноярск</t>
        </is>
      </c>
      <c r="C127" s="24" t="inlineStr">
        <is>
          <t>NTE240</t>
        </is>
      </c>
      <c r="D127" s="24" t="inlineStr"/>
      <c r="E127" s="24" t="inlineStr">
        <is>
          <t>620</t>
        </is>
      </c>
      <c r="F127" s="24" t="inlineStr">
        <is>
          <t>план</t>
        </is>
      </c>
      <c r="G127" s="26" t="n">
        <v>46361</v>
      </c>
      <c r="H127" s="10">
        <f>IF(G127&lt;$D$5,$D$6,$D$7)</f>
        <v>24</v>
      </c>
      <c r="I127" s="26">
        <f>EDATE(G127,H127)</f>
        <v>47092</v>
      </c>
    </row>
    <row r="128">
      <c r="A128" s="24" t="n">
        <v>119</v>
      </c>
      <c r="B128" s="25" t="inlineStr">
        <is>
          <t>Полюс Красноярск</t>
        </is>
      </c>
      <c r="C128" s="24" t="inlineStr">
        <is>
          <t>NTE240</t>
        </is>
      </c>
      <c r="D128" s="24" t="inlineStr"/>
      <c r="E128" s="24" t="inlineStr">
        <is>
          <t>621</t>
        </is>
      </c>
      <c r="F128" s="24" t="inlineStr">
        <is>
          <t>план</t>
        </is>
      </c>
      <c r="G128" s="26" t="n">
        <v>46366</v>
      </c>
      <c r="H128" s="10">
        <f>IF(G128&lt;$D$5,$D$6,$D$7)</f>
        <v>24</v>
      </c>
      <c r="I128" s="26">
        <f>EDATE(G128,H128)</f>
        <v>47097</v>
      </c>
    </row>
    <row r="129">
      <c r="A129" s="24" t="n">
        <v>120</v>
      </c>
      <c r="B129" s="25" t="inlineStr">
        <is>
          <t>Полюс Красноярск</t>
        </is>
      </c>
      <c r="C129" s="24" t="inlineStr">
        <is>
          <t>NTE240</t>
        </is>
      </c>
      <c r="D129" s="24" t="inlineStr"/>
      <c r="E129" s="24" t="inlineStr">
        <is>
          <t>622</t>
        </is>
      </c>
      <c r="F129" s="24" t="inlineStr">
        <is>
          <t>план</t>
        </is>
      </c>
      <c r="G129" s="26" t="n">
        <v>46366</v>
      </c>
      <c r="H129" s="10">
        <f>IF(G129&lt;$D$5,$D$6,$D$7)</f>
        <v>24</v>
      </c>
      <c r="I129" s="26">
        <f>EDATE(G129,H129)</f>
        <v>47097</v>
      </c>
    </row>
    <row r="130">
      <c r="A130" s="24" t="n">
        <v>121</v>
      </c>
      <c r="B130" s="25" t="inlineStr">
        <is>
          <t>Полюс Красноярск</t>
        </is>
      </c>
      <c r="C130" s="24" t="inlineStr">
        <is>
          <t>NTE240</t>
        </is>
      </c>
      <c r="D130" s="24" t="inlineStr"/>
      <c r="E130" s="24" t="inlineStr">
        <is>
          <t>623</t>
        </is>
      </c>
      <c r="F130" s="24" t="inlineStr">
        <is>
          <t>план</t>
        </is>
      </c>
      <c r="G130" s="26" t="n">
        <v>46397</v>
      </c>
      <c r="H130" s="10">
        <f>IF(G130&lt;$D$5,$D$6,$D$7)</f>
        <v>24</v>
      </c>
      <c r="I130" s="26">
        <f>EDATE(G130,H130)</f>
        <v>47128</v>
      </c>
    </row>
    <row r="131">
      <c r="A131" s="24" t="n">
        <v>122</v>
      </c>
      <c r="B131" s="25" t="inlineStr">
        <is>
          <t>Полюс Красноярск</t>
        </is>
      </c>
      <c r="C131" s="24" t="inlineStr">
        <is>
          <t>NTE240</t>
        </is>
      </c>
      <c r="D131" s="24" t="inlineStr"/>
      <c r="E131" s="24" t="inlineStr">
        <is>
          <t>624</t>
        </is>
      </c>
      <c r="F131" s="24" t="inlineStr">
        <is>
          <t>план</t>
        </is>
      </c>
      <c r="G131" s="26" t="n">
        <v>46397</v>
      </c>
      <c r="H131" s="10">
        <f>IF(G131&lt;$D$5,$D$6,$D$7)</f>
        <v>24</v>
      </c>
      <c r="I131" s="26">
        <f>EDATE(G131,H131)</f>
        <v>47128</v>
      </c>
    </row>
    <row r="132">
      <c r="A132" s="24" t="n">
        <v>123</v>
      </c>
      <c r="B132" s="27" t="inlineStr">
        <is>
          <t>Полюс Сухой Лог</t>
        </is>
      </c>
      <c r="C132" s="24" t="inlineStr">
        <is>
          <t>NTE240</t>
        </is>
      </c>
      <c r="D132" s="24" t="inlineStr"/>
      <c r="E132" s="24" t="inlineStr"/>
      <c r="F132" s="24" t="inlineStr">
        <is>
          <t>план</t>
        </is>
      </c>
      <c r="G132" s="26" t="n">
        <v>46266</v>
      </c>
      <c r="H132" s="10">
        <f>IF(G132&lt;$D$5,$D$6,$D$7)</f>
        <v>24</v>
      </c>
      <c r="I132" s="26">
        <f>EDATE(G132,H132)</f>
        <v>46997</v>
      </c>
    </row>
    <row r="133">
      <c r="A133" s="24" t="n">
        <v>124</v>
      </c>
      <c r="B133" s="27" t="inlineStr">
        <is>
          <t>Полюс Сухой Лог</t>
        </is>
      </c>
      <c r="C133" s="24" t="inlineStr">
        <is>
          <t>NTE240</t>
        </is>
      </c>
      <c r="D133" s="24" t="inlineStr"/>
      <c r="E133" s="24" t="inlineStr"/>
      <c r="F133" s="24" t="inlineStr">
        <is>
          <t>план</t>
        </is>
      </c>
      <c r="G133" s="26" t="n">
        <v>46280</v>
      </c>
      <c r="H133" s="10">
        <f>IF(G133&lt;$D$5,$D$6,$D$7)</f>
        <v>24</v>
      </c>
      <c r="I133" s="26">
        <f>EDATE(G133,H133)</f>
        <v>47011</v>
      </c>
    </row>
    <row r="134">
      <c r="A134" s="24" t="n">
        <v>125</v>
      </c>
      <c r="B134" s="27" t="inlineStr">
        <is>
          <t>Полюс Сухой Лог</t>
        </is>
      </c>
      <c r="C134" s="24" t="inlineStr">
        <is>
          <t>NTE240</t>
        </is>
      </c>
      <c r="D134" s="24" t="inlineStr"/>
      <c r="E134" s="24" t="inlineStr"/>
      <c r="F134" s="24" t="inlineStr">
        <is>
          <t>план</t>
        </is>
      </c>
      <c r="G134" s="26" t="n">
        <v>46295</v>
      </c>
      <c r="H134" s="10">
        <f>IF(G134&lt;$D$5,$D$6,$D$7)</f>
        <v>24</v>
      </c>
      <c r="I134" s="26">
        <f>EDATE(G134,H134)</f>
        <v>47026</v>
      </c>
    </row>
    <row r="135">
      <c r="A135" s="24" t="n">
        <v>126</v>
      </c>
      <c r="B135" s="27" t="inlineStr">
        <is>
          <t>Полюс Сухой Лог</t>
        </is>
      </c>
      <c r="C135" s="24" t="inlineStr">
        <is>
          <t>NTE240</t>
        </is>
      </c>
      <c r="D135" s="24" t="inlineStr"/>
      <c r="E135" s="24" t="inlineStr"/>
      <c r="F135" s="24" t="inlineStr">
        <is>
          <t>план</t>
        </is>
      </c>
      <c r="G135" s="26" t="n">
        <v>46296</v>
      </c>
      <c r="H135" s="10">
        <f>IF(G135&lt;$D$5,$D$6,$D$7)</f>
        <v>24</v>
      </c>
      <c r="I135" s="26">
        <f>EDATE(G135,H135)</f>
        <v>47027</v>
      </c>
    </row>
    <row r="136">
      <c r="A136" s="24" t="n">
        <v>127</v>
      </c>
      <c r="B136" s="27" t="inlineStr">
        <is>
          <t>Полюс Сухой Лог</t>
        </is>
      </c>
      <c r="C136" s="24" t="inlineStr">
        <is>
          <t>NTE240</t>
        </is>
      </c>
      <c r="D136" s="24" t="inlineStr"/>
      <c r="E136" s="24" t="inlineStr"/>
      <c r="F136" s="24" t="inlineStr">
        <is>
          <t>план</t>
        </is>
      </c>
      <c r="G136" s="26" t="n">
        <v>46310</v>
      </c>
      <c r="H136" s="10">
        <f>IF(G136&lt;$D$5,$D$6,$D$7)</f>
        <v>24</v>
      </c>
      <c r="I136" s="26">
        <f>EDATE(G136,H136)</f>
        <v>47041</v>
      </c>
    </row>
    <row r="137">
      <c r="A137" s="24" t="n">
        <v>128</v>
      </c>
      <c r="B137" s="27" t="inlineStr">
        <is>
          <t>Полюс Сухой Лог</t>
        </is>
      </c>
      <c r="C137" s="24" t="inlineStr">
        <is>
          <t>NTE240</t>
        </is>
      </c>
      <c r="D137" s="24" t="inlineStr"/>
      <c r="E137" s="24" t="inlineStr"/>
      <c r="F137" s="24" t="inlineStr">
        <is>
          <t>план</t>
        </is>
      </c>
      <c r="G137" s="26" t="n">
        <v>46325</v>
      </c>
      <c r="H137" s="10">
        <f>IF(G137&lt;$D$5,$D$6,$D$7)</f>
        <v>24</v>
      </c>
      <c r="I137" s="26">
        <f>EDATE(G137,H137)</f>
        <v>47056</v>
      </c>
    </row>
    <row r="138">
      <c r="A138" s="24" t="n">
        <v>129</v>
      </c>
      <c r="B138" s="27" t="inlineStr">
        <is>
          <t>Полюс Сухой Лог</t>
        </is>
      </c>
      <c r="C138" s="24" t="inlineStr">
        <is>
          <t>NTE240</t>
        </is>
      </c>
      <c r="D138" s="24" t="inlineStr"/>
      <c r="E138" s="24" t="inlineStr"/>
      <c r="F138" s="24" t="inlineStr">
        <is>
          <t>план</t>
        </is>
      </c>
      <c r="G138" s="26" t="n">
        <v>46327</v>
      </c>
      <c r="H138" s="10">
        <f>IF(G138&lt;$D$5,$D$6,$D$7)</f>
        <v>24</v>
      </c>
      <c r="I138" s="26">
        <f>EDATE(G138,H138)</f>
        <v>47058</v>
      </c>
    </row>
    <row r="139">
      <c r="A139" s="24" t="n">
        <v>130</v>
      </c>
      <c r="B139" s="27" t="inlineStr">
        <is>
          <t>Полюс Сухой Лог</t>
        </is>
      </c>
      <c r="C139" s="24" t="inlineStr">
        <is>
          <t>NTE240</t>
        </is>
      </c>
      <c r="D139" s="24" t="inlineStr"/>
      <c r="E139" s="24" t="inlineStr"/>
      <c r="F139" s="24" t="inlineStr">
        <is>
          <t>план</t>
        </is>
      </c>
      <c r="G139" s="26" t="n">
        <v>46341</v>
      </c>
      <c r="H139" s="10">
        <f>IF(G139&lt;$D$5,$D$6,$D$7)</f>
        <v>24</v>
      </c>
      <c r="I139" s="26">
        <f>EDATE(G139,H139)</f>
        <v>47072</v>
      </c>
    </row>
    <row r="140">
      <c r="A140" s="24" t="n">
        <v>131</v>
      </c>
      <c r="B140" s="27" t="inlineStr">
        <is>
          <t>Полюс Сухой Лог</t>
        </is>
      </c>
      <c r="C140" s="24" t="inlineStr">
        <is>
          <t>NTE240</t>
        </is>
      </c>
      <c r="D140" s="24" t="inlineStr"/>
      <c r="E140" s="24" t="inlineStr"/>
      <c r="F140" s="24" t="inlineStr">
        <is>
          <t>план</t>
        </is>
      </c>
      <c r="G140" s="26" t="n">
        <v>46356</v>
      </c>
      <c r="H140" s="10">
        <f>IF(G140&lt;$D$5,$D$6,$D$7)</f>
        <v>24</v>
      </c>
      <c r="I140" s="26">
        <f>EDATE(G140,H140)</f>
        <v>47087</v>
      </c>
    </row>
    <row r="141">
      <c r="A141" s="24" t="n">
        <v>132</v>
      </c>
      <c r="B141" s="27" t="inlineStr">
        <is>
          <t>Полюс Сухой Лог</t>
        </is>
      </c>
      <c r="C141" s="24" t="inlineStr">
        <is>
          <t>NTE240</t>
        </is>
      </c>
      <c r="D141" s="24" t="inlineStr"/>
      <c r="E141" s="24" t="inlineStr"/>
      <c r="F141" s="24" t="inlineStr">
        <is>
          <t>план</t>
        </is>
      </c>
      <c r="G141" s="26" t="n">
        <v>46478</v>
      </c>
      <c r="H141" s="10">
        <f>IF(G141&lt;$D$5,$D$6,$D$7)</f>
        <v>24</v>
      </c>
      <c r="I141" s="26">
        <f>EDATE(G141,H141)</f>
        <v>47209</v>
      </c>
    </row>
    <row r="142">
      <c r="A142" s="24" t="n">
        <v>133</v>
      </c>
      <c r="B142" s="27" t="inlineStr">
        <is>
          <t>Полюс Сухой Лог</t>
        </is>
      </c>
      <c r="C142" s="24" t="inlineStr">
        <is>
          <t>NTE240</t>
        </is>
      </c>
      <c r="D142" s="24" t="inlineStr"/>
      <c r="E142" s="24" t="inlineStr"/>
      <c r="F142" s="24" t="inlineStr">
        <is>
          <t>план</t>
        </is>
      </c>
      <c r="G142" s="26" t="n">
        <v>46487</v>
      </c>
      <c r="H142" s="10">
        <f>IF(G142&lt;$D$5,$D$6,$D$7)</f>
        <v>24</v>
      </c>
      <c r="I142" s="26">
        <f>EDATE(G142,H142)</f>
        <v>47218</v>
      </c>
    </row>
    <row r="143">
      <c r="A143" s="24" t="n">
        <v>134</v>
      </c>
      <c r="B143" s="27" t="inlineStr">
        <is>
          <t>Полюс Сухой Лог</t>
        </is>
      </c>
      <c r="C143" s="24" t="inlineStr">
        <is>
          <t>NTE240</t>
        </is>
      </c>
      <c r="D143" s="24" t="inlineStr"/>
      <c r="E143" s="24" t="inlineStr"/>
      <c r="F143" s="24" t="inlineStr">
        <is>
          <t>план</t>
        </is>
      </c>
      <c r="G143" s="26" t="n">
        <v>46497</v>
      </c>
      <c r="H143" s="10">
        <f>IF(G143&lt;$D$5,$D$6,$D$7)</f>
        <v>24</v>
      </c>
      <c r="I143" s="26">
        <f>EDATE(G143,H143)</f>
        <v>47228</v>
      </c>
    </row>
    <row r="144">
      <c r="A144" s="24" t="n">
        <v>135</v>
      </c>
      <c r="B144" s="27" t="inlineStr">
        <is>
          <t>Полюс Сухой Лог</t>
        </is>
      </c>
      <c r="C144" s="24" t="inlineStr">
        <is>
          <t>NTE240</t>
        </is>
      </c>
      <c r="D144" s="24" t="inlineStr"/>
      <c r="E144" s="24" t="inlineStr"/>
      <c r="F144" s="24" t="inlineStr">
        <is>
          <t>план</t>
        </is>
      </c>
      <c r="G144" s="26" t="n">
        <v>46507</v>
      </c>
      <c r="H144" s="10">
        <f>IF(G144&lt;$D$5,$D$6,$D$7)</f>
        <v>24</v>
      </c>
      <c r="I144" s="26">
        <f>EDATE(G144,H144)</f>
        <v>47238</v>
      </c>
    </row>
    <row r="145">
      <c r="A145" s="24" t="n">
        <v>136</v>
      </c>
      <c r="B145" s="27" t="inlineStr">
        <is>
          <t>Полюс Сухой Лог</t>
        </is>
      </c>
      <c r="C145" s="24" t="inlineStr">
        <is>
          <t>NTE240</t>
        </is>
      </c>
      <c r="D145" s="24" t="inlineStr"/>
      <c r="E145" s="24" t="inlineStr"/>
      <c r="F145" s="24" t="inlineStr">
        <is>
          <t>план</t>
        </is>
      </c>
      <c r="G145" s="26" t="n">
        <v>46508</v>
      </c>
      <c r="H145" s="10">
        <f>IF(G145&lt;$D$5,$D$6,$D$7)</f>
        <v>24</v>
      </c>
      <c r="I145" s="26">
        <f>EDATE(G145,H145)</f>
        <v>47239</v>
      </c>
    </row>
    <row r="146">
      <c r="A146" s="24" t="n">
        <v>137</v>
      </c>
      <c r="B146" s="27" t="inlineStr">
        <is>
          <t>Полюс Сухой Лог</t>
        </is>
      </c>
      <c r="C146" s="24" t="inlineStr">
        <is>
          <t>NTE240</t>
        </is>
      </c>
      <c r="D146" s="24" t="inlineStr"/>
      <c r="E146" s="24" t="inlineStr"/>
      <c r="F146" s="24" t="inlineStr">
        <is>
          <t>план</t>
        </is>
      </c>
      <c r="G146" s="26" t="n">
        <v>46517</v>
      </c>
      <c r="H146" s="10">
        <f>IF(G146&lt;$D$5,$D$6,$D$7)</f>
        <v>24</v>
      </c>
      <c r="I146" s="26">
        <f>EDATE(G146,H146)</f>
        <v>47248</v>
      </c>
    </row>
    <row r="147">
      <c r="A147" s="24" t="n">
        <v>138</v>
      </c>
      <c r="B147" s="27" t="inlineStr">
        <is>
          <t>Полюс Сухой Лог</t>
        </is>
      </c>
      <c r="C147" s="24" t="inlineStr">
        <is>
          <t>NTE240</t>
        </is>
      </c>
      <c r="D147" s="24" t="inlineStr"/>
      <c r="E147" s="24" t="inlineStr"/>
      <c r="F147" s="24" t="inlineStr">
        <is>
          <t>план</t>
        </is>
      </c>
      <c r="G147" s="26" t="n">
        <v>46527</v>
      </c>
      <c r="H147" s="10">
        <f>IF(G147&lt;$D$5,$D$6,$D$7)</f>
        <v>24</v>
      </c>
      <c r="I147" s="26">
        <f>EDATE(G147,H147)</f>
        <v>47258</v>
      </c>
    </row>
    <row r="148">
      <c r="A148" s="24" t="n">
        <v>139</v>
      </c>
      <c r="B148" s="27" t="inlineStr">
        <is>
          <t>Полюс Сухой Лог</t>
        </is>
      </c>
      <c r="C148" s="24" t="inlineStr">
        <is>
          <t>NTE240</t>
        </is>
      </c>
      <c r="D148" s="24" t="inlineStr"/>
      <c r="E148" s="24" t="inlineStr"/>
      <c r="F148" s="24" t="inlineStr">
        <is>
          <t>план</t>
        </is>
      </c>
      <c r="G148" s="26" t="n">
        <v>46537</v>
      </c>
      <c r="H148" s="10">
        <f>IF(G148&lt;$D$5,$D$6,$D$7)</f>
        <v>24</v>
      </c>
      <c r="I148" s="26">
        <f>EDATE(G148,H148)</f>
        <v>47268</v>
      </c>
    </row>
    <row r="149">
      <c r="A149" s="24" t="n">
        <v>140</v>
      </c>
      <c r="B149" s="27" t="inlineStr">
        <is>
          <t>Полюс Сухой Лог</t>
        </is>
      </c>
      <c r="C149" s="24" t="inlineStr">
        <is>
          <t>NTE240</t>
        </is>
      </c>
      <c r="D149" s="24" t="inlineStr"/>
      <c r="E149" s="24" t="inlineStr"/>
      <c r="F149" s="24" t="inlineStr">
        <is>
          <t>план</t>
        </is>
      </c>
      <c r="G149" s="26" t="n">
        <v>46539</v>
      </c>
      <c r="H149" s="10">
        <f>IF(G149&lt;$D$5,$D$6,$D$7)</f>
        <v>24</v>
      </c>
      <c r="I149" s="26">
        <f>EDATE(G149,H149)</f>
        <v>47270</v>
      </c>
    </row>
    <row r="150">
      <c r="A150" s="24" t="n">
        <v>141</v>
      </c>
      <c r="B150" s="27" t="inlineStr">
        <is>
          <t>Полюс Сухой Лог</t>
        </is>
      </c>
      <c r="C150" s="24" t="inlineStr">
        <is>
          <t>NTE240</t>
        </is>
      </c>
      <c r="D150" s="24" t="inlineStr"/>
      <c r="E150" s="24" t="inlineStr"/>
      <c r="F150" s="24" t="inlineStr">
        <is>
          <t>план</t>
        </is>
      </c>
      <c r="G150" s="26" t="n">
        <v>46548</v>
      </c>
      <c r="H150" s="10">
        <f>IF(G150&lt;$D$5,$D$6,$D$7)</f>
        <v>24</v>
      </c>
      <c r="I150" s="26">
        <f>EDATE(G150,H150)</f>
        <v>47279</v>
      </c>
    </row>
    <row r="151">
      <c r="A151" s="24" t="n">
        <v>142</v>
      </c>
      <c r="B151" s="27" t="inlineStr">
        <is>
          <t>Полюс Сухой Лог</t>
        </is>
      </c>
      <c r="C151" s="24" t="inlineStr">
        <is>
          <t>NTE240</t>
        </is>
      </c>
      <c r="D151" s="24" t="inlineStr"/>
      <c r="E151" s="24" t="inlineStr"/>
      <c r="F151" s="24" t="inlineStr">
        <is>
          <t>план</t>
        </is>
      </c>
      <c r="G151" s="26" t="n">
        <v>46558</v>
      </c>
      <c r="H151" s="10">
        <f>IF(G151&lt;$D$5,$D$6,$D$7)</f>
        <v>24</v>
      </c>
      <c r="I151" s="26">
        <f>EDATE(G151,H151)</f>
        <v>47289</v>
      </c>
    </row>
    <row r="152">
      <c r="A152" s="24" t="n">
        <v>143</v>
      </c>
      <c r="B152" s="27" t="inlineStr">
        <is>
          <t>Полюс Сухой Лог</t>
        </is>
      </c>
      <c r="C152" s="24" t="inlineStr">
        <is>
          <t>NTE240</t>
        </is>
      </c>
      <c r="D152" s="24" t="inlineStr"/>
      <c r="E152" s="24" t="inlineStr"/>
      <c r="F152" s="24" t="inlineStr">
        <is>
          <t>план</t>
        </is>
      </c>
      <c r="G152" s="26" t="n">
        <v>46568</v>
      </c>
      <c r="H152" s="10">
        <f>IF(G152&lt;$D$5,$D$6,$D$7)</f>
        <v>24</v>
      </c>
      <c r="I152" s="26">
        <f>EDATE(G152,H152)</f>
        <v>47299</v>
      </c>
    </row>
    <row r="153">
      <c r="A153" s="24" t="n">
        <v>144</v>
      </c>
      <c r="B153" s="27" t="inlineStr">
        <is>
          <t>Полюс Сухой Лог</t>
        </is>
      </c>
      <c r="C153" s="24" t="inlineStr">
        <is>
          <t>NTE240</t>
        </is>
      </c>
      <c r="D153" s="24" t="inlineStr"/>
      <c r="E153" s="24" t="inlineStr"/>
      <c r="F153" s="24" t="inlineStr">
        <is>
          <t>план</t>
        </is>
      </c>
      <c r="G153" s="26" t="n">
        <v>46569</v>
      </c>
      <c r="H153" s="10">
        <f>IF(G153&lt;$D$5,$D$6,$D$7)</f>
        <v>24</v>
      </c>
      <c r="I153" s="26">
        <f>EDATE(G153,H153)</f>
        <v>47300</v>
      </c>
    </row>
    <row r="154">
      <c r="A154" s="24" t="n">
        <v>145</v>
      </c>
      <c r="B154" s="27" t="inlineStr">
        <is>
          <t>Полюс Сухой Лог</t>
        </is>
      </c>
      <c r="C154" s="24" t="inlineStr">
        <is>
          <t>NTE240</t>
        </is>
      </c>
      <c r="D154" s="24" t="inlineStr"/>
      <c r="E154" s="24" t="inlineStr"/>
      <c r="F154" s="24" t="inlineStr">
        <is>
          <t>план</t>
        </is>
      </c>
      <c r="G154" s="26" t="n">
        <v>46583</v>
      </c>
      <c r="H154" s="10">
        <f>IF(G154&lt;$D$5,$D$6,$D$7)</f>
        <v>24</v>
      </c>
      <c r="I154" s="26">
        <f>EDATE(G154,H154)</f>
        <v>47314</v>
      </c>
    </row>
    <row r="155">
      <c r="A155" s="24" t="n">
        <v>146</v>
      </c>
      <c r="B155" s="27" t="inlineStr">
        <is>
          <t>Полюс Сухой Лог</t>
        </is>
      </c>
      <c r="C155" s="24" t="inlineStr">
        <is>
          <t>NTE240</t>
        </is>
      </c>
      <c r="D155" s="24" t="inlineStr"/>
      <c r="E155" s="24" t="inlineStr"/>
      <c r="F155" s="24" t="inlineStr">
        <is>
          <t>план</t>
        </is>
      </c>
      <c r="G155" s="26" t="n">
        <v>46598</v>
      </c>
      <c r="H155" s="10">
        <f>IF(G155&lt;$D$5,$D$6,$D$7)</f>
        <v>24</v>
      </c>
      <c r="I155" s="26">
        <f>EDATE(G155,H155)</f>
        <v>47329</v>
      </c>
    </row>
    <row r="156">
      <c r="A156" s="24" t="n">
        <v>147</v>
      </c>
      <c r="B156" s="27" t="inlineStr">
        <is>
          <t>Полюс Сухой Лог</t>
        </is>
      </c>
      <c r="C156" s="24" t="inlineStr">
        <is>
          <t>NTE240</t>
        </is>
      </c>
      <c r="D156" s="24" t="inlineStr"/>
      <c r="E156" s="24" t="inlineStr"/>
      <c r="F156" s="24" t="inlineStr">
        <is>
          <t>план</t>
        </is>
      </c>
      <c r="G156" s="26" t="n">
        <v>46600</v>
      </c>
      <c r="H156" s="10">
        <f>IF(G156&lt;$D$5,$D$6,$D$7)</f>
        <v>24</v>
      </c>
      <c r="I156" s="26">
        <f>EDATE(G156,H156)</f>
        <v>47331</v>
      </c>
    </row>
    <row r="157">
      <c r="A157" s="24" t="n">
        <v>148</v>
      </c>
      <c r="B157" s="27" t="inlineStr">
        <is>
          <t>Полюс Сухой Лог</t>
        </is>
      </c>
      <c r="C157" s="24" t="inlineStr">
        <is>
          <t>NTE240</t>
        </is>
      </c>
      <c r="D157" s="24" t="inlineStr"/>
      <c r="E157" s="24" t="inlineStr"/>
      <c r="F157" s="24" t="inlineStr">
        <is>
          <t>план</t>
        </is>
      </c>
      <c r="G157" s="26" t="n">
        <v>46609</v>
      </c>
      <c r="H157" s="10">
        <f>IF(G157&lt;$D$5,$D$6,$D$7)</f>
        <v>24</v>
      </c>
      <c r="I157" s="26">
        <f>EDATE(G157,H157)</f>
        <v>47340</v>
      </c>
    </row>
    <row r="158">
      <c r="A158" s="24" t="n">
        <v>149</v>
      </c>
      <c r="B158" s="27" t="inlineStr">
        <is>
          <t>Полюс Сухой Лог</t>
        </is>
      </c>
      <c r="C158" s="24" t="inlineStr">
        <is>
          <t>NTE240</t>
        </is>
      </c>
      <c r="D158" s="24" t="inlineStr"/>
      <c r="E158" s="24" t="inlineStr"/>
      <c r="F158" s="24" t="inlineStr">
        <is>
          <t>план</t>
        </is>
      </c>
      <c r="G158" s="26" t="n">
        <v>46619</v>
      </c>
      <c r="H158" s="10">
        <f>IF(G158&lt;$D$5,$D$6,$D$7)</f>
        <v>24</v>
      </c>
      <c r="I158" s="26">
        <f>EDATE(G158,H158)</f>
        <v>47350</v>
      </c>
    </row>
    <row r="159">
      <c r="A159" s="24" t="n">
        <v>150</v>
      </c>
      <c r="B159" s="27" t="inlineStr">
        <is>
          <t>Полюс Сухой Лог</t>
        </is>
      </c>
      <c r="C159" s="24" t="inlineStr">
        <is>
          <t>NTE240</t>
        </is>
      </c>
      <c r="D159" s="24" t="inlineStr"/>
      <c r="E159" s="24" t="inlineStr"/>
      <c r="F159" s="24" t="inlineStr">
        <is>
          <t>план</t>
        </is>
      </c>
      <c r="G159" s="26" t="n">
        <v>46629</v>
      </c>
      <c r="H159" s="10">
        <f>IF(G159&lt;$D$5,$D$6,$D$7)</f>
        <v>24</v>
      </c>
      <c r="I159" s="26">
        <f>EDATE(G159,H159)</f>
        <v>47360</v>
      </c>
    </row>
    <row r="160">
      <c r="A160" s="24" t="n">
        <v>151</v>
      </c>
      <c r="B160" s="27" t="inlineStr">
        <is>
          <t>Полюс Сухой Лог</t>
        </is>
      </c>
      <c r="C160" s="24" t="inlineStr">
        <is>
          <t>NTE240</t>
        </is>
      </c>
      <c r="D160" s="24" t="inlineStr"/>
      <c r="E160" s="24" t="inlineStr"/>
      <c r="F160" s="24" t="inlineStr">
        <is>
          <t>план</t>
        </is>
      </c>
      <c r="G160" s="26" t="n">
        <v>46631</v>
      </c>
      <c r="H160" s="10">
        <f>IF(G160&lt;$D$5,$D$6,$D$7)</f>
        <v>24</v>
      </c>
      <c r="I160" s="26">
        <f>EDATE(G160,H160)</f>
        <v>47362</v>
      </c>
    </row>
    <row r="161">
      <c r="A161" s="24" t="n">
        <v>152</v>
      </c>
      <c r="B161" s="27" t="inlineStr">
        <is>
          <t>Полюс Сухой Лог</t>
        </is>
      </c>
      <c r="C161" s="24" t="inlineStr">
        <is>
          <t>NTE240</t>
        </is>
      </c>
      <c r="D161" s="24" t="inlineStr"/>
      <c r="E161" s="24" t="inlineStr"/>
      <c r="F161" s="24" t="inlineStr">
        <is>
          <t>план</t>
        </is>
      </c>
      <c r="G161" s="26" t="n">
        <v>46640</v>
      </c>
      <c r="H161" s="10">
        <f>IF(G161&lt;$D$5,$D$6,$D$7)</f>
        <v>24</v>
      </c>
      <c r="I161" s="26">
        <f>EDATE(G161,H161)</f>
        <v>47371</v>
      </c>
    </row>
    <row r="162">
      <c r="A162" s="24" t="n">
        <v>153</v>
      </c>
      <c r="B162" s="27" t="inlineStr">
        <is>
          <t>Полюс Сухой Лог</t>
        </is>
      </c>
      <c r="C162" s="24" t="inlineStr">
        <is>
          <t>NTE240</t>
        </is>
      </c>
      <c r="D162" s="24" t="inlineStr"/>
      <c r="E162" s="24" t="inlineStr"/>
      <c r="F162" s="24" t="inlineStr">
        <is>
          <t>план</t>
        </is>
      </c>
      <c r="G162" s="26" t="n">
        <v>46650</v>
      </c>
      <c r="H162" s="10">
        <f>IF(G162&lt;$D$5,$D$6,$D$7)</f>
        <v>24</v>
      </c>
      <c r="I162" s="26">
        <f>EDATE(G162,H162)</f>
        <v>47381</v>
      </c>
    </row>
    <row r="163">
      <c r="A163" s="24" t="n">
        <v>154</v>
      </c>
      <c r="B163" s="27" t="inlineStr">
        <is>
          <t>Полюс Сухой Лог</t>
        </is>
      </c>
      <c r="C163" s="24" t="inlineStr">
        <is>
          <t>NTE240</t>
        </is>
      </c>
      <c r="D163" s="24" t="inlineStr"/>
      <c r="E163" s="24" t="inlineStr"/>
      <c r="F163" s="24" t="inlineStr">
        <is>
          <t>план</t>
        </is>
      </c>
      <c r="G163" s="26" t="n">
        <v>46660</v>
      </c>
      <c r="H163" s="10">
        <f>IF(G163&lt;$D$5,$D$6,$D$7)</f>
        <v>24</v>
      </c>
      <c r="I163" s="26">
        <f>EDATE(G163,H163)</f>
        <v>47391</v>
      </c>
    </row>
    <row r="164">
      <c r="A164" s="24" t="n">
        <v>155</v>
      </c>
      <c r="B164" s="27" t="inlineStr">
        <is>
          <t>Полюс Сухой Лог</t>
        </is>
      </c>
      <c r="C164" s="24" t="inlineStr">
        <is>
          <t>NTE240</t>
        </is>
      </c>
      <c r="D164" s="24" t="inlineStr"/>
      <c r="E164" s="24" t="inlineStr"/>
      <c r="F164" s="24" t="inlineStr">
        <is>
          <t>план</t>
        </is>
      </c>
      <c r="G164" s="26" t="n">
        <v>46661</v>
      </c>
      <c r="H164" s="10">
        <f>IF(G164&lt;$D$5,$D$6,$D$7)</f>
        <v>24</v>
      </c>
      <c r="I164" s="26">
        <f>EDATE(G164,H164)</f>
        <v>47392</v>
      </c>
    </row>
    <row r="165">
      <c r="A165" s="24" t="n">
        <v>156</v>
      </c>
      <c r="B165" s="27" t="inlineStr">
        <is>
          <t>Полюс Сухой Лог</t>
        </is>
      </c>
      <c r="C165" s="24" t="inlineStr">
        <is>
          <t>NTE240</t>
        </is>
      </c>
      <c r="D165" s="24" t="inlineStr"/>
      <c r="E165" s="24" t="inlineStr"/>
      <c r="F165" s="24" t="inlineStr">
        <is>
          <t>план</t>
        </is>
      </c>
      <c r="G165" s="26" t="n">
        <v>46670</v>
      </c>
      <c r="H165" s="10">
        <f>IF(G165&lt;$D$5,$D$6,$D$7)</f>
        <v>24</v>
      </c>
      <c r="I165" s="26">
        <f>EDATE(G165,H165)</f>
        <v>47401</v>
      </c>
    </row>
    <row r="166">
      <c r="A166" s="24" t="n">
        <v>157</v>
      </c>
      <c r="B166" s="27" t="inlineStr">
        <is>
          <t>Полюс Сухой Лог</t>
        </is>
      </c>
      <c r="C166" s="24" t="inlineStr">
        <is>
          <t>NTE240</t>
        </is>
      </c>
      <c r="D166" s="24" t="inlineStr"/>
      <c r="E166" s="24" t="inlineStr"/>
      <c r="F166" s="24" t="inlineStr">
        <is>
          <t>план</t>
        </is>
      </c>
      <c r="G166" s="26" t="n">
        <v>46680</v>
      </c>
      <c r="H166" s="10">
        <f>IF(G166&lt;$D$5,$D$6,$D$7)</f>
        <v>24</v>
      </c>
      <c r="I166" s="26">
        <f>EDATE(G166,H166)</f>
        <v>47411</v>
      </c>
    </row>
    <row r="167">
      <c r="A167" s="24" t="n">
        <v>158</v>
      </c>
      <c r="B167" s="27" t="inlineStr">
        <is>
          <t>Полюс Сухой Лог</t>
        </is>
      </c>
      <c r="C167" s="24" t="inlineStr">
        <is>
          <t>NTE240</t>
        </is>
      </c>
      <c r="D167" s="24" t="inlineStr"/>
      <c r="E167" s="24" t="inlineStr"/>
      <c r="F167" s="24" t="inlineStr">
        <is>
          <t>план</t>
        </is>
      </c>
      <c r="G167" s="26" t="n">
        <v>46690</v>
      </c>
      <c r="H167" s="10">
        <f>IF(G167&lt;$D$5,$D$6,$D$7)</f>
        <v>24</v>
      </c>
      <c r="I167" s="26">
        <f>EDATE(G167,H167)</f>
        <v>47421</v>
      </c>
    </row>
    <row r="168">
      <c r="A168" s="24" t="n">
        <v>159</v>
      </c>
      <c r="B168" s="27" t="inlineStr">
        <is>
          <t>Полюс Сухой Лог</t>
        </is>
      </c>
      <c r="C168" s="24" t="inlineStr">
        <is>
          <t>NTE240</t>
        </is>
      </c>
      <c r="D168" s="24" t="inlineStr"/>
      <c r="E168" s="24" t="inlineStr"/>
      <c r="F168" s="24" t="inlineStr">
        <is>
          <t>план</t>
        </is>
      </c>
      <c r="G168" s="26" t="n">
        <v>46692</v>
      </c>
      <c r="H168" s="10">
        <f>IF(G168&lt;$D$5,$D$6,$D$7)</f>
        <v>24</v>
      </c>
      <c r="I168" s="26">
        <f>EDATE(G168,H168)</f>
        <v>47423</v>
      </c>
    </row>
    <row r="169">
      <c r="A169" s="24" t="n">
        <v>160</v>
      </c>
      <c r="B169" s="27" t="inlineStr">
        <is>
          <t>Полюс Сухой Лог</t>
        </is>
      </c>
      <c r="C169" s="24" t="inlineStr">
        <is>
          <t>NTE240</t>
        </is>
      </c>
      <c r="D169" s="24" t="inlineStr"/>
      <c r="E169" s="24" t="inlineStr"/>
      <c r="F169" s="24" t="inlineStr">
        <is>
          <t>план</t>
        </is>
      </c>
      <c r="G169" s="26" t="n">
        <v>46701</v>
      </c>
      <c r="H169" s="10">
        <f>IF(G169&lt;$D$5,$D$6,$D$7)</f>
        <v>24</v>
      </c>
      <c r="I169" s="26">
        <f>EDATE(G169,H169)</f>
        <v>47432</v>
      </c>
    </row>
    <row r="170">
      <c r="A170" s="24" t="n">
        <v>161</v>
      </c>
      <c r="B170" s="27" t="inlineStr">
        <is>
          <t>Полюс Сухой Лог</t>
        </is>
      </c>
      <c r="C170" s="24" t="inlineStr">
        <is>
          <t>NTE240</t>
        </is>
      </c>
      <c r="D170" s="24" t="inlineStr"/>
      <c r="E170" s="24" t="inlineStr"/>
      <c r="F170" s="24" t="inlineStr">
        <is>
          <t>план</t>
        </is>
      </c>
      <c r="G170" s="26" t="n">
        <v>46711</v>
      </c>
      <c r="H170" s="10">
        <f>IF(G170&lt;$D$5,$D$6,$D$7)</f>
        <v>24</v>
      </c>
      <c r="I170" s="26">
        <f>EDATE(G170,H170)</f>
        <v>47442</v>
      </c>
    </row>
    <row r="171">
      <c r="A171" s="24" t="n">
        <v>162</v>
      </c>
      <c r="B171" s="27" t="inlineStr">
        <is>
          <t>Полюс Сухой Лог</t>
        </is>
      </c>
      <c r="C171" s="24" t="inlineStr">
        <is>
          <t>NTE240</t>
        </is>
      </c>
      <c r="D171" s="24" t="inlineStr"/>
      <c r="E171" s="24" t="inlineStr"/>
      <c r="F171" s="24" t="inlineStr">
        <is>
          <t>план</t>
        </is>
      </c>
      <c r="G171" s="26" t="n">
        <v>46721</v>
      </c>
      <c r="H171" s="10">
        <f>IF(G171&lt;$D$5,$D$6,$D$7)</f>
        <v>24</v>
      </c>
      <c r="I171" s="26">
        <f>EDATE(G171,H171)</f>
        <v>47452</v>
      </c>
    </row>
    <row r="172">
      <c r="A172" s="24" t="n">
        <v>163</v>
      </c>
      <c r="B172" s="27" t="inlineStr">
        <is>
          <t>Полюс Сухой Лог</t>
        </is>
      </c>
      <c r="C172" s="24" t="inlineStr">
        <is>
          <t>NTE240</t>
        </is>
      </c>
      <c r="D172" s="24" t="inlineStr"/>
      <c r="E172" s="24" t="inlineStr"/>
      <c r="F172" s="24" t="inlineStr">
        <is>
          <t>план</t>
        </is>
      </c>
      <c r="G172" s="26" t="n">
        <v>46722</v>
      </c>
      <c r="H172" s="10">
        <f>IF(G172&lt;$D$5,$D$6,$D$7)</f>
        <v>24</v>
      </c>
      <c r="I172" s="26">
        <f>EDATE(G172,H172)</f>
        <v>47453</v>
      </c>
    </row>
    <row r="173">
      <c r="A173" s="24" t="n">
        <v>164</v>
      </c>
      <c r="B173" s="27" t="inlineStr">
        <is>
          <t>Полюс Сухой Лог</t>
        </is>
      </c>
      <c r="C173" s="24" t="inlineStr">
        <is>
          <t>NTE240</t>
        </is>
      </c>
      <c r="D173" s="24" t="inlineStr"/>
      <c r="E173" s="24" t="inlineStr"/>
      <c r="F173" s="24" t="inlineStr">
        <is>
          <t>план</t>
        </is>
      </c>
      <c r="G173" s="26" t="n">
        <v>46731</v>
      </c>
      <c r="H173" s="10">
        <f>IF(G173&lt;$D$5,$D$6,$D$7)</f>
        <v>24</v>
      </c>
      <c r="I173" s="26">
        <f>EDATE(G173,H173)</f>
        <v>47462</v>
      </c>
    </row>
    <row r="174">
      <c r="A174" s="24" t="n">
        <v>165</v>
      </c>
      <c r="B174" s="27" t="inlineStr">
        <is>
          <t>Полюс Сухой Лог</t>
        </is>
      </c>
      <c r="C174" s="24" t="inlineStr">
        <is>
          <t>NTE240</t>
        </is>
      </c>
      <c r="D174" s="24" t="inlineStr"/>
      <c r="E174" s="24" t="inlineStr"/>
      <c r="F174" s="24" t="inlineStr">
        <is>
          <t>план</t>
        </is>
      </c>
      <c r="G174" s="26" t="n">
        <v>46741</v>
      </c>
      <c r="H174" s="10">
        <f>IF(G174&lt;$D$5,$D$6,$D$7)</f>
        <v>24</v>
      </c>
      <c r="I174" s="26">
        <f>EDATE(G174,H174)</f>
        <v>47472</v>
      </c>
    </row>
    <row r="175">
      <c r="A175" s="24" t="n">
        <v>166</v>
      </c>
      <c r="B175" s="27" t="inlineStr">
        <is>
          <t>Полюс Сухой Лог</t>
        </is>
      </c>
      <c r="C175" s="24" t="inlineStr">
        <is>
          <t>NTE240</t>
        </is>
      </c>
      <c r="D175" s="24" t="inlineStr"/>
      <c r="E175" s="24" t="inlineStr"/>
      <c r="F175" s="24" t="inlineStr">
        <is>
          <t>план</t>
        </is>
      </c>
      <c r="G175" s="26" t="n">
        <v>46751</v>
      </c>
      <c r="H175" s="10">
        <f>IF(G175&lt;$D$5,$D$6,$D$7)</f>
        <v>24</v>
      </c>
      <c r="I175" s="26">
        <f>EDATE(G175,H175)</f>
        <v>47482</v>
      </c>
    </row>
    <row r="176">
      <c r="A176" s="24" t="n">
        <v>167</v>
      </c>
      <c r="B176" s="27" t="inlineStr">
        <is>
          <t>Полюс Сухой Лог</t>
        </is>
      </c>
      <c r="C176" s="24" t="inlineStr">
        <is>
          <t>NTE240</t>
        </is>
      </c>
      <c r="D176" s="24" t="inlineStr"/>
      <c r="E176" s="24" t="inlineStr"/>
      <c r="F176" s="24" t="inlineStr">
        <is>
          <t>план</t>
        </is>
      </c>
      <c r="G176" s="26" t="n">
        <v>46753</v>
      </c>
      <c r="H176" s="10">
        <f>IF(G176&lt;$D$5,$D$6,$D$7)</f>
        <v>24</v>
      </c>
      <c r="I176" s="26">
        <f>EDATE(G176,H176)</f>
        <v>47484</v>
      </c>
    </row>
    <row r="177">
      <c r="A177" s="24" t="n">
        <v>168</v>
      </c>
      <c r="B177" s="27" t="inlineStr">
        <is>
          <t>Полюс Сухой Лог</t>
        </is>
      </c>
      <c r="C177" s="24" t="inlineStr">
        <is>
          <t>NTE240</t>
        </is>
      </c>
      <c r="D177" s="24" t="inlineStr"/>
      <c r="E177" s="24" t="inlineStr"/>
      <c r="F177" s="24" t="inlineStr">
        <is>
          <t>план</t>
        </is>
      </c>
      <c r="G177" s="26" t="n">
        <v>46767</v>
      </c>
      <c r="H177" s="10">
        <f>IF(G177&lt;$D$5,$D$6,$D$7)</f>
        <v>24</v>
      </c>
      <c r="I177" s="26">
        <f>EDATE(G177,H177)</f>
        <v>47498</v>
      </c>
    </row>
    <row r="178">
      <c r="A178" s="24" t="n">
        <v>169</v>
      </c>
      <c r="B178" s="27" t="inlineStr">
        <is>
          <t>Полюс Сухой Лог</t>
        </is>
      </c>
      <c r="C178" s="24" t="inlineStr">
        <is>
          <t>NTE240</t>
        </is>
      </c>
      <c r="D178" s="24" t="inlineStr"/>
      <c r="E178" s="24" t="inlineStr"/>
      <c r="F178" s="24" t="inlineStr">
        <is>
          <t>план</t>
        </is>
      </c>
      <c r="G178" s="26" t="n">
        <v>46782</v>
      </c>
      <c r="H178" s="10">
        <f>IF(G178&lt;$D$5,$D$6,$D$7)</f>
        <v>24</v>
      </c>
      <c r="I178" s="26">
        <f>EDATE(G178,H178)</f>
        <v>47513</v>
      </c>
    </row>
    <row r="179">
      <c r="A179" s="24" t="n">
        <v>170</v>
      </c>
      <c r="B179" s="27" t="inlineStr">
        <is>
          <t>Полюс Сухой Лог</t>
        </is>
      </c>
      <c r="C179" s="24" t="inlineStr">
        <is>
          <t>NTE240</t>
        </is>
      </c>
      <c r="D179" s="24" t="inlineStr"/>
      <c r="E179" s="24" t="inlineStr"/>
      <c r="F179" s="24" t="inlineStr">
        <is>
          <t>план</t>
        </is>
      </c>
      <c r="G179" s="26" t="n">
        <v>46784</v>
      </c>
      <c r="H179" s="10">
        <f>IF(G179&lt;$D$5,$D$6,$D$7)</f>
        <v>24</v>
      </c>
      <c r="I179" s="26">
        <f>EDATE(G179,H179)</f>
        <v>47515</v>
      </c>
    </row>
    <row r="180">
      <c r="A180" s="24" t="n">
        <v>171</v>
      </c>
      <c r="B180" s="27" t="inlineStr">
        <is>
          <t>Полюс Сухой Лог</t>
        </is>
      </c>
      <c r="C180" s="24" t="inlineStr">
        <is>
          <t>NTE240</t>
        </is>
      </c>
      <c r="D180" s="24" t="inlineStr"/>
      <c r="E180" s="24" t="inlineStr"/>
      <c r="F180" s="24" t="inlineStr">
        <is>
          <t>план</t>
        </is>
      </c>
      <c r="G180" s="26" t="n">
        <v>46798</v>
      </c>
      <c r="H180" s="10">
        <f>IF(G180&lt;$D$5,$D$6,$D$7)</f>
        <v>24</v>
      </c>
      <c r="I180" s="26">
        <f>EDATE(G180,H180)</f>
        <v>47529</v>
      </c>
    </row>
    <row r="181">
      <c r="A181" s="24" t="n">
        <v>172</v>
      </c>
      <c r="B181" s="27" t="inlineStr">
        <is>
          <t>Полюс Сухой Лог</t>
        </is>
      </c>
      <c r="C181" s="24" t="inlineStr">
        <is>
          <t>NTE240</t>
        </is>
      </c>
      <c r="D181" s="24" t="inlineStr"/>
      <c r="E181" s="24" t="inlineStr"/>
      <c r="F181" s="24" t="inlineStr">
        <is>
          <t>план</t>
        </is>
      </c>
      <c r="G181" s="26" t="n">
        <v>46811</v>
      </c>
      <c r="H181" s="10">
        <f>IF(G181&lt;$D$5,$D$6,$D$7)</f>
        <v>24</v>
      </c>
      <c r="I181" s="26">
        <f>EDATE(G181,H181)</f>
        <v>47542</v>
      </c>
    </row>
    <row r="182">
      <c r="A182" s="24" t="n">
        <v>173</v>
      </c>
      <c r="B182" s="27" t="inlineStr">
        <is>
          <t>Полюс Сухой Лог</t>
        </is>
      </c>
      <c r="C182" s="24" t="inlineStr">
        <is>
          <t>NTE240</t>
        </is>
      </c>
      <c r="D182" s="24" t="inlineStr"/>
      <c r="E182" s="24" t="inlineStr"/>
      <c r="F182" s="24" t="inlineStr">
        <is>
          <t>план</t>
        </is>
      </c>
      <c r="G182" s="26" t="n">
        <v>46813</v>
      </c>
      <c r="H182" s="10">
        <f>IF(G182&lt;$D$5,$D$6,$D$7)</f>
        <v>24</v>
      </c>
      <c r="I182" s="26">
        <f>EDATE(G182,H182)</f>
        <v>47543</v>
      </c>
    </row>
    <row r="183">
      <c r="A183" s="24" t="n">
        <v>174</v>
      </c>
      <c r="B183" s="27" t="inlineStr">
        <is>
          <t>Полюс Сухой Лог</t>
        </is>
      </c>
      <c r="C183" s="24" t="inlineStr">
        <is>
          <t>NTE240</t>
        </is>
      </c>
      <c r="D183" s="24" t="inlineStr"/>
      <c r="E183" s="24" t="inlineStr"/>
      <c r="F183" s="24" t="inlineStr">
        <is>
          <t>план</t>
        </is>
      </c>
      <c r="G183" s="26" t="n">
        <v>46827</v>
      </c>
      <c r="H183" s="10">
        <f>IF(G183&lt;$D$5,$D$6,$D$7)</f>
        <v>24</v>
      </c>
      <c r="I183" s="26">
        <f>EDATE(G183,H183)</f>
        <v>47557</v>
      </c>
    </row>
    <row r="184">
      <c r="A184" s="24" t="n">
        <v>175</v>
      </c>
      <c r="B184" s="27" t="inlineStr">
        <is>
          <t>Полюс Сухой Лог</t>
        </is>
      </c>
      <c r="C184" s="24" t="inlineStr">
        <is>
          <t>NTE240</t>
        </is>
      </c>
      <c r="D184" s="24" t="inlineStr"/>
      <c r="E184" s="24" t="inlineStr"/>
      <c r="F184" s="24" t="inlineStr">
        <is>
          <t>план</t>
        </is>
      </c>
      <c r="G184" s="26" t="n">
        <v>46842</v>
      </c>
      <c r="H184" s="10">
        <f>IF(G184&lt;$D$5,$D$6,$D$7)</f>
        <v>24</v>
      </c>
      <c r="I184" s="26">
        <f>EDATE(G184,H184)</f>
        <v>47572</v>
      </c>
    </row>
    <row r="185">
      <c r="A185" s="24" t="n">
        <v>176</v>
      </c>
      <c r="B185" s="27" t="inlineStr">
        <is>
          <t>Полюс Сухой Лог</t>
        </is>
      </c>
      <c r="C185" s="24" t="inlineStr">
        <is>
          <t>NTE240</t>
        </is>
      </c>
      <c r="D185" s="24" t="inlineStr"/>
      <c r="E185" s="24" t="inlineStr"/>
      <c r="F185" s="24" t="inlineStr">
        <is>
          <t>план</t>
        </is>
      </c>
      <c r="G185" s="26" t="n">
        <v>46844</v>
      </c>
      <c r="H185" s="10">
        <f>IF(G185&lt;$D$5,$D$6,$D$7)</f>
        <v>24</v>
      </c>
      <c r="I185" s="26">
        <f>EDATE(G185,H185)</f>
        <v>47574</v>
      </c>
    </row>
    <row r="186">
      <c r="A186" s="24" t="n">
        <v>177</v>
      </c>
      <c r="B186" s="27" t="inlineStr">
        <is>
          <t>Полюс Сухой Лог</t>
        </is>
      </c>
      <c r="C186" s="24" t="inlineStr">
        <is>
          <t>NTE240</t>
        </is>
      </c>
      <c r="D186" s="24" t="inlineStr"/>
      <c r="E186" s="24" t="inlineStr"/>
      <c r="F186" s="24" t="inlineStr">
        <is>
          <t>план</t>
        </is>
      </c>
      <c r="G186" s="26" t="n">
        <v>46853</v>
      </c>
      <c r="H186" s="10">
        <f>IF(G186&lt;$D$5,$D$6,$D$7)</f>
        <v>24</v>
      </c>
      <c r="I186" s="26">
        <f>EDATE(G186,H186)</f>
        <v>47583</v>
      </c>
    </row>
    <row r="187">
      <c r="A187" s="24" t="n">
        <v>178</v>
      </c>
      <c r="B187" s="27" t="inlineStr">
        <is>
          <t>Полюс Сухой Лог</t>
        </is>
      </c>
      <c r="C187" s="24" t="inlineStr">
        <is>
          <t>NTE240</t>
        </is>
      </c>
      <c r="D187" s="24" t="inlineStr"/>
      <c r="E187" s="24" t="inlineStr"/>
      <c r="F187" s="24" t="inlineStr">
        <is>
          <t>план</t>
        </is>
      </c>
      <c r="G187" s="26" t="n">
        <v>46863</v>
      </c>
      <c r="H187" s="10">
        <f>IF(G187&lt;$D$5,$D$6,$D$7)</f>
        <v>24</v>
      </c>
      <c r="I187" s="26">
        <f>EDATE(G187,H187)</f>
        <v>47593</v>
      </c>
    </row>
    <row r="188">
      <c r="A188" s="24" t="n">
        <v>179</v>
      </c>
      <c r="B188" s="27" t="inlineStr">
        <is>
          <t>Полюс Сухой Лог</t>
        </is>
      </c>
      <c r="C188" s="24" t="inlineStr">
        <is>
          <t>NTE240</t>
        </is>
      </c>
      <c r="D188" s="24" t="inlineStr"/>
      <c r="E188" s="24" t="inlineStr"/>
      <c r="F188" s="24" t="inlineStr">
        <is>
          <t>план</t>
        </is>
      </c>
      <c r="G188" s="26" t="n">
        <v>46873</v>
      </c>
      <c r="H188" s="10">
        <f>IF(G188&lt;$D$5,$D$6,$D$7)</f>
        <v>24</v>
      </c>
      <c r="I188" s="26">
        <f>EDATE(G188,H188)</f>
        <v>47603</v>
      </c>
    </row>
    <row r="189">
      <c r="A189" s="24" t="n">
        <v>180</v>
      </c>
      <c r="B189" s="27" t="inlineStr">
        <is>
          <t>Полюс Сухой Лог</t>
        </is>
      </c>
      <c r="C189" s="24" t="inlineStr">
        <is>
          <t>NTE240</t>
        </is>
      </c>
      <c r="D189" s="24" t="inlineStr"/>
      <c r="E189" s="24" t="inlineStr"/>
      <c r="F189" s="24" t="inlineStr">
        <is>
          <t>план</t>
        </is>
      </c>
      <c r="G189" s="26" t="n">
        <v>46874</v>
      </c>
      <c r="H189" s="10">
        <f>IF(G189&lt;$D$5,$D$6,$D$7)</f>
        <v>24</v>
      </c>
      <c r="I189" s="26">
        <f>EDATE(G189,H189)</f>
        <v>47604</v>
      </c>
    </row>
    <row r="190">
      <c r="A190" s="24" t="n">
        <v>181</v>
      </c>
      <c r="B190" s="27" t="inlineStr">
        <is>
          <t>Полюс Сухой Лог</t>
        </is>
      </c>
      <c r="C190" s="24" t="inlineStr">
        <is>
          <t>NTE240</t>
        </is>
      </c>
      <c r="D190" s="24" t="inlineStr"/>
      <c r="E190" s="24" t="inlineStr"/>
      <c r="F190" s="24" t="inlineStr">
        <is>
          <t>план</t>
        </is>
      </c>
      <c r="G190" s="26" t="n">
        <v>46883</v>
      </c>
      <c r="H190" s="10">
        <f>IF(G190&lt;$D$5,$D$6,$D$7)</f>
        <v>24</v>
      </c>
      <c r="I190" s="26">
        <f>EDATE(G190,H190)</f>
        <v>47613</v>
      </c>
    </row>
    <row r="191">
      <c r="A191" s="24" t="n">
        <v>182</v>
      </c>
      <c r="B191" s="27" t="inlineStr">
        <is>
          <t>Полюс Сухой Лог</t>
        </is>
      </c>
      <c r="C191" s="24" t="inlineStr">
        <is>
          <t>NTE240</t>
        </is>
      </c>
      <c r="D191" s="24" t="inlineStr"/>
      <c r="E191" s="24" t="inlineStr"/>
      <c r="F191" s="24" t="inlineStr">
        <is>
          <t>план</t>
        </is>
      </c>
      <c r="G191" s="26" t="n">
        <v>46893</v>
      </c>
      <c r="H191" s="10">
        <f>IF(G191&lt;$D$5,$D$6,$D$7)</f>
        <v>24</v>
      </c>
      <c r="I191" s="26">
        <f>EDATE(G191,H191)</f>
        <v>47623</v>
      </c>
    </row>
    <row r="192">
      <c r="A192" s="24" t="n">
        <v>183</v>
      </c>
      <c r="B192" s="27" t="inlineStr">
        <is>
          <t>Полюс Сухой Лог</t>
        </is>
      </c>
      <c r="C192" s="24" t="inlineStr">
        <is>
          <t>NTE240</t>
        </is>
      </c>
      <c r="D192" s="24" t="inlineStr"/>
      <c r="E192" s="24" t="inlineStr"/>
      <c r="F192" s="24" t="inlineStr">
        <is>
          <t>план</t>
        </is>
      </c>
      <c r="G192" s="26" t="n">
        <v>46903</v>
      </c>
      <c r="H192" s="10">
        <f>IF(G192&lt;$D$5,$D$6,$D$7)</f>
        <v>24</v>
      </c>
      <c r="I192" s="26">
        <f>EDATE(G192,H192)</f>
        <v>47633</v>
      </c>
    </row>
    <row r="193">
      <c r="A193" s="24" t="n">
        <v>184</v>
      </c>
      <c r="B193" s="27" t="inlineStr">
        <is>
          <t>Полюс Сухой Лог</t>
        </is>
      </c>
      <c r="C193" s="24" t="inlineStr">
        <is>
          <t>NTE240</t>
        </is>
      </c>
      <c r="D193" s="24" t="inlineStr"/>
      <c r="E193" s="24" t="inlineStr"/>
      <c r="F193" s="24" t="inlineStr">
        <is>
          <t>план</t>
        </is>
      </c>
      <c r="G193" s="26" t="n">
        <v>46905</v>
      </c>
      <c r="H193" s="10">
        <f>IF(G193&lt;$D$5,$D$6,$D$7)</f>
        <v>24</v>
      </c>
      <c r="I193" s="26">
        <f>EDATE(G193,H193)</f>
        <v>47635</v>
      </c>
    </row>
    <row r="194">
      <c r="A194" s="24" t="n">
        <v>185</v>
      </c>
      <c r="B194" s="27" t="inlineStr">
        <is>
          <t>Полюс Сухой Лог</t>
        </is>
      </c>
      <c r="C194" s="24" t="inlineStr">
        <is>
          <t>NTE240</t>
        </is>
      </c>
      <c r="D194" s="24" t="inlineStr"/>
      <c r="E194" s="24" t="inlineStr"/>
      <c r="F194" s="24" t="inlineStr">
        <is>
          <t>план</t>
        </is>
      </c>
      <c r="G194" s="26" t="n">
        <v>46914</v>
      </c>
      <c r="H194" s="10">
        <f>IF(G194&lt;$D$5,$D$6,$D$7)</f>
        <v>24</v>
      </c>
      <c r="I194" s="26">
        <f>EDATE(G194,H194)</f>
        <v>47644</v>
      </c>
    </row>
    <row r="195">
      <c r="A195" s="24" t="n">
        <v>186</v>
      </c>
      <c r="B195" s="27" t="inlineStr">
        <is>
          <t>Полюс Сухой Лог</t>
        </is>
      </c>
      <c r="C195" s="24" t="inlineStr">
        <is>
          <t>NTE240</t>
        </is>
      </c>
      <c r="D195" s="24" t="inlineStr"/>
      <c r="E195" s="24" t="inlineStr">
        <is>
          <t>1664</t>
        </is>
      </c>
      <c r="F195" s="24" t="inlineStr">
        <is>
          <t>план</t>
        </is>
      </c>
      <c r="G195" s="26" t="n">
        <v>46924</v>
      </c>
      <c r="H195" s="10">
        <f>IF(G195&lt;$D$5,$D$6,$D$7)</f>
        <v>24</v>
      </c>
      <c r="I195" s="26">
        <f>EDATE(G195,H195)</f>
        <v>47654</v>
      </c>
    </row>
    <row r="196">
      <c r="A196" s="24" t="n">
        <v>187</v>
      </c>
      <c r="B196" s="27" t="inlineStr">
        <is>
          <t>Полюс Сухой Лог</t>
        </is>
      </c>
      <c r="C196" s="24" t="inlineStr">
        <is>
          <t>NTE240</t>
        </is>
      </c>
      <c r="D196" s="24" t="inlineStr"/>
      <c r="E196" s="24" t="inlineStr">
        <is>
          <t>1665</t>
        </is>
      </c>
      <c r="F196" s="24" t="inlineStr">
        <is>
          <t>план</t>
        </is>
      </c>
      <c r="G196" s="26" t="n">
        <v>46934</v>
      </c>
      <c r="H196" s="10">
        <f>IF(G196&lt;$D$5,$D$6,$D$7)</f>
        <v>24</v>
      </c>
      <c r="I196" s="26">
        <f>EDATE(G196,H196)</f>
        <v>47664</v>
      </c>
    </row>
    <row r="197">
      <c r="A197" s="24" t="n">
        <v>188</v>
      </c>
      <c r="B197" s="27" t="inlineStr">
        <is>
          <t>Полюс Сухой Лог</t>
        </is>
      </c>
      <c r="C197" s="24" t="inlineStr">
        <is>
          <t>NTE240</t>
        </is>
      </c>
      <c r="D197" s="24" t="inlineStr"/>
      <c r="E197" s="24" t="inlineStr">
        <is>
          <t>1666</t>
        </is>
      </c>
      <c r="F197" s="24" t="inlineStr">
        <is>
          <t>план</t>
        </is>
      </c>
      <c r="G197" s="26" t="n">
        <v>46935</v>
      </c>
      <c r="H197" s="10">
        <f>IF(G197&lt;$D$5,$D$6,$D$7)</f>
        <v>24</v>
      </c>
      <c r="I197" s="26">
        <f>EDATE(G197,H197)</f>
        <v>47665</v>
      </c>
    </row>
    <row r="198">
      <c r="A198" s="24" t="n">
        <v>189</v>
      </c>
      <c r="B198" s="27" t="inlineStr">
        <is>
          <t>Полюс Сухой Лог</t>
        </is>
      </c>
      <c r="C198" s="24" t="inlineStr">
        <is>
          <t>NTE240</t>
        </is>
      </c>
      <c r="D198" s="24" t="inlineStr"/>
      <c r="E198" s="24" t="inlineStr">
        <is>
          <t>1667</t>
        </is>
      </c>
      <c r="F198" s="24" t="inlineStr">
        <is>
          <t>план</t>
        </is>
      </c>
      <c r="G198" s="26" t="n">
        <v>46949</v>
      </c>
      <c r="H198" s="10">
        <f>IF(G198&lt;$D$5,$D$6,$D$7)</f>
        <v>24</v>
      </c>
      <c r="I198" s="26">
        <f>EDATE(G198,H198)</f>
        <v>47679</v>
      </c>
    </row>
    <row r="199">
      <c r="A199" s="24" t="n">
        <v>190</v>
      </c>
      <c r="B199" s="27" t="inlineStr">
        <is>
          <t>Полюс Сухой Лог</t>
        </is>
      </c>
      <c r="C199" s="24" t="inlineStr">
        <is>
          <t>NTE240</t>
        </is>
      </c>
      <c r="D199" s="24" t="inlineStr"/>
      <c r="E199" s="24" t="inlineStr">
        <is>
          <t>1668</t>
        </is>
      </c>
      <c r="F199" s="24" t="inlineStr">
        <is>
          <t>план</t>
        </is>
      </c>
      <c r="G199" s="26" t="n">
        <v>46964</v>
      </c>
      <c r="H199" s="10">
        <f>IF(G199&lt;$D$5,$D$6,$D$7)</f>
        <v>24</v>
      </c>
      <c r="I199" s="26">
        <f>EDATE(G199,H199)</f>
        <v>47694</v>
      </c>
    </row>
    <row r="200">
      <c r="A200" s="24" t="n">
        <v>191</v>
      </c>
      <c r="B200" s="27" t="inlineStr">
        <is>
          <t>Полюс Сухой Лог</t>
        </is>
      </c>
      <c r="C200" s="24" t="inlineStr">
        <is>
          <t>NTE240</t>
        </is>
      </c>
      <c r="D200" s="24" t="inlineStr"/>
      <c r="E200" s="24" t="inlineStr">
        <is>
          <t>1669</t>
        </is>
      </c>
      <c r="F200" s="24" t="inlineStr">
        <is>
          <t>план</t>
        </is>
      </c>
      <c r="G200" s="26" t="n">
        <v>46966</v>
      </c>
      <c r="H200" s="10">
        <f>IF(G200&lt;$D$5,$D$6,$D$7)</f>
        <v>24</v>
      </c>
      <c r="I200" s="26">
        <f>EDATE(G200,H200)</f>
        <v>47696</v>
      </c>
    </row>
    <row r="201">
      <c r="A201" s="24" t="n">
        <v>192</v>
      </c>
      <c r="B201" s="27" t="inlineStr">
        <is>
          <t>Полюс Сухой Лог</t>
        </is>
      </c>
      <c r="C201" s="24" t="inlineStr">
        <is>
          <t>NTE240</t>
        </is>
      </c>
      <c r="D201" s="24" t="inlineStr"/>
      <c r="E201" s="24" t="inlineStr">
        <is>
          <t>1670</t>
        </is>
      </c>
      <c r="F201" s="24" t="inlineStr">
        <is>
          <t>план</t>
        </is>
      </c>
      <c r="G201" s="26" t="n">
        <v>46997</v>
      </c>
      <c r="H201" s="10">
        <f>IF(G201&lt;$D$5,$D$6,$D$7)</f>
        <v>24</v>
      </c>
      <c r="I201" s="26">
        <f>EDATE(G201,H201)</f>
        <v>47727</v>
      </c>
    </row>
    <row r="202">
      <c r="A202" s="24" t="n">
        <v>193</v>
      </c>
      <c r="B202" s="27" t="inlineStr">
        <is>
          <t>Полюс Сухой Лог</t>
        </is>
      </c>
      <c r="C202" s="24" t="inlineStr">
        <is>
          <t>NTE240</t>
        </is>
      </c>
      <c r="D202" s="24" t="inlineStr"/>
      <c r="E202" s="24" t="inlineStr">
        <is>
          <t>1671</t>
        </is>
      </c>
      <c r="F202" s="24" t="inlineStr">
        <is>
          <t>план</t>
        </is>
      </c>
      <c r="G202" s="26" t="n">
        <v>47027</v>
      </c>
      <c r="H202" s="10">
        <f>IF(G202&lt;$D$5,$D$6,$D$7)</f>
        <v>24</v>
      </c>
      <c r="I202" s="26">
        <f>EDATE(G202,H202)</f>
        <v>47757</v>
      </c>
    </row>
    <row r="203">
      <c r="A203" s="24" t="n">
        <v>194</v>
      </c>
      <c r="B203" s="27" t="inlineStr">
        <is>
          <t>Полюс Сухой Лог</t>
        </is>
      </c>
      <c r="C203" s="24" t="inlineStr">
        <is>
          <t>NTE240</t>
        </is>
      </c>
      <c r="D203" s="24" t="inlineStr"/>
      <c r="E203" s="24" t="inlineStr">
        <is>
          <t>1672</t>
        </is>
      </c>
      <c r="F203" s="24" t="inlineStr">
        <is>
          <t>план</t>
        </is>
      </c>
      <c r="G203" s="26" t="n">
        <v>47036</v>
      </c>
      <c r="H203" s="10">
        <f>IF(G203&lt;$D$5,$D$6,$D$7)</f>
        <v>24</v>
      </c>
      <c r="I203" s="26">
        <f>EDATE(G203,H203)</f>
        <v>47766</v>
      </c>
    </row>
    <row r="204">
      <c r="A204" s="24" t="n">
        <v>195</v>
      </c>
      <c r="B204" s="27" t="inlineStr">
        <is>
          <t>Полюс Сухой Лог</t>
        </is>
      </c>
      <c r="C204" s="24" t="inlineStr">
        <is>
          <t>NTE240</t>
        </is>
      </c>
      <c r="D204" s="24" t="inlineStr"/>
      <c r="E204" s="24" t="inlineStr">
        <is>
          <t>1673</t>
        </is>
      </c>
      <c r="F204" s="24" t="inlineStr">
        <is>
          <t>план</t>
        </is>
      </c>
      <c r="G204" s="26" t="n">
        <v>47046</v>
      </c>
      <c r="H204" s="10">
        <f>IF(G204&lt;$D$5,$D$6,$D$7)</f>
        <v>24</v>
      </c>
      <c r="I204" s="26">
        <f>EDATE(G204,H204)</f>
        <v>47776</v>
      </c>
    </row>
    <row r="205">
      <c r="A205" s="24" t="n">
        <v>196</v>
      </c>
      <c r="B205" s="27" t="inlineStr">
        <is>
          <t>Полюс Сухой Лог</t>
        </is>
      </c>
      <c r="C205" s="24" t="inlineStr">
        <is>
          <t>NTE240</t>
        </is>
      </c>
      <c r="D205" s="24" t="inlineStr"/>
      <c r="E205" s="24" t="inlineStr">
        <is>
          <t>1674</t>
        </is>
      </c>
      <c r="F205" s="24" t="inlineStr">
        <is>
          <t>план</t>
        </is>
      </c>
      <c r="G205" s="26" t="n">
        <v>47056</v>
      </c>
      <c r="H205" s="10">
        <f>IF(G205&lt;$D$5,$D$6,$D$7)</f>
        <v>24</v>
      </c>
      <c r="I205" s="26">
        <f>EDATE(G205,H205)</f>
        <v>47786</v>
      </c>
    </row>
    <row r="206">
      <c r="A206" s="24" t="n">
        <v>197</v>
      </c>
      <c r="B206" s="27" t="inlineStr">
        <is>
          <t>Полюс Сухой Лог</t>
        </is>
      </c>
      <c r="C206" s="24" t="inlineStr">
        <is>
          <t>NTE240</t>
        </is>
      </c>
      <c r="D206" s="24" t="inlineStr"/>
      <c r="E206" s="24" t="inlineStr">
        <is>
          <t>1675</t>
        </is>
      </c>
      <c r="F206" s="24" t="inlineStr">
        <is>
          <t>план</t>
        </is>
      </c>
      <c r="G206" s="26" t="n">
        <v>47058</v>
      </c>
      <c r="H206" s="10">
        <f>IF(G206&lt;$D$5,$D$6,$D$7)</f>
        <v>24</v>
      </c>
      <c r="I206" s="26">
        <f>EDATE(G206,H206)</f>
        <v>47788</v>
      </c>
    </row>
    <row r="207">
      <c r="A207" s="24" t="n">
        <v>198</v>
      </c>
      <c r="B207" s="27" t="inlineStr">
        <is>
          <t>Полюс Сухой Лог</t>
        </is>
      </c>
      <c r="C207" s="24" t="inlineStr">
        <is>
          <t>NTE240</t>
        </is>
      </c>
      <c r="D207" s="24" t="inlineStr"/>
      <c r="E207" s="24" t="inlineStr">
        <is>
          <t>1676</t>
        </is>
      </c>
      <c r="F207" s="24" t="inlineStr">
        <is>
          <t>план</t>
        </is>
      </c>
      <c r="G207" s="26" t="n">
        <v>47067</v>
      </c>
      <c r="H207" s="10">
        <f>IF(G207&lt;$D$5,$D$6,$D$7)</f>
        <v>24</v>
      </c>
      <c r="I207" s="26">
        <f>EDATE(G207,H207)</f>
        <v>47797</v>
      </c>
    </row>
    <row r="208">
      <c r="A208" s="24" t="n">
        <v>199</v>
      </c>
      <c r="B208" s="27" t="inlineStr">
        <is>
          <t>Полюс Сухой Лог</t>
        </is>
      </c>
      <c r="C208" s="24" t="inlineStr">
        <is>
          <t>NTE240</t>
        </is>
      </c>
      <c r="D208" s="24" t="inlineStr"/>
      <c r="E208" s="24" t="inlineStr">
        <is>
          <t>1677</t>
        </is>
      </c>
      <c r="F208" s="24" t="inlineStr">
        <is>
          <t>план</t>
        </is>
      </c>
      <c r="G208" s="26" t="n">
        <v>47077</v>
      </c>
      <c r="H208" s="10">
        <f>IF(G208&lt;$D$5,$D$6,$D$7)</f>
        <v>24</v>
      </c>
      <c r="I208" s="26">
        <f>EDATE(G208,H208)</f>
        <v>47807</v>
      </c>
    </row>
    <row r="209">
      <c r="A209" s="24" t="n">
        <v>200</v>
      </c>
      <c r="B209" s="27" t="inlineStr">
        <is>
          <t>Полюс Сухой Лог</t>
        </is>
      </c>
      <c r="C209" s="24" t="inlineStr">
        <is>
          <t>NTE240</t>
        </is>
      </c>
      <c r="D209" s="24" t="inlineStr"/>
      <c r="E209" s="24" t="inlineStr">
        <is>
          <t>1678</t>
        </is>
      </c>
      <c r="F209" s="24" t="inlineStr">
        <is>
          <t>план</t>
        </is>
      </c>
      <c r="G209" s="26" t="n">
        <v>47087</v>
      </c>
      <c r="H209" s="10">
        <f>IF(G209&lt;$D$5,$D$6,$D$7)</f>
        <v>24</v>
      </c>
      <c r="I209" s="26">
        <f>EDATE(G209,H209)</f>
        <v>47817</v>
      </c>
    </row>
    <row r="210">
      <c r="A210" s="24" t="n">
        <v>201</v>
      </c>
      <c r="B210" s="27" t="inlineStr">
        <is>
          <t>Полюс Сухой Лог</t>
        </is>
      </c>
      <c r="C210" s="24" t="inlineStr">
        <is>
          <t>NTE240</t>
        </is>
      </c>
      <c r="D210" s="24" t="inlineStr"/>
      <c r="E210" s="24" t="inlineStr">
        <is>
          <t>1679</t>
        </is>
      </c>
      <c r="F210" s="24" t="inlineStr">
        <is>
          <t>план</t>
        </is>
      </c>
      <c r="G210" s="26" t="n">
        <v>47088</v>
      </c>
      <c r="H210" s="10">
        <f>IF(G210&lt;$D$5,$D$6,$D$7)</f>
        <v>24</v>
      </c>
      <c r="I210" s="26">
        <f>EDATE(G210,H210)</f>
        <v>47818</v>
      </c>
    </row>
    <row r="211">
      <c r="A211" s="24" t="n">
        <v>202</v>
      </c>
      <c r="B211" s="27" t="inlineStr">
        <is>
          <t>Полюс Сухой Лог</t>
        </is>
      </c>
      <c r="C211" s="24" t="inlineStr">
        <is>
          <t>NTE240</t>
        </is>
      </c>
      <c r="D211" s="24" t="inlineStr"/>
      <c r="E211" s="24" t="inlineStr">
        <is>
          <t>1680</t>
        </is>
      </c>
      <c r="F211" s="24" t="inlineStr">
        <is>
          <t>план</t>
        </is>
      </c>
      <c r="G211" s="26" t="n">
        <v>47097</v>
      </c>
      <c r="H211" s="10">
        <f>IF(G211&lt;$D$5,$D$6,$D$7)</f>
        <v>24</v>
      </c>
      <c r="I211" s="26">
        <f>EDATE(G211,H211)</f>
        <v>47827</v>
      </c>
    </row>
    <row r="212">
      <c r="A212" s="24" t="n">
        <v>203</v>
      </c>
      <c r="B212" s="27" t="inlineStr">
        <is>
          <t>Полюс Сухой Лог</t>
        </is>
      </c>
      <c r="C212" s="24" t="inlineStr">
        <is>
          <t>NTE240</t>
        </is>
      </c>
      <c r="D212" s="24" t="inlineStr"/>
      <c r="E212" s="24" t="inlineStr">
        <is>
          <t>1681</t>
        </is>
      </c>
      <c r="F212" s="24" t="inlineStr">
        <is>
          <t>план</t>
        </is>
      </c>
      <c r="G212" s="26" t="n">
        <v>47107</v>
      </c>
      <c r="H212" s="10">
        <f>IF(G212&lt;$D$5,$D$6,$D$7)</f>
        <v>24</v>
      </c>
      <c r="I212" s="26">
        <f>EDATE(G212,H212)</f>
        <v>47837</v>
      </c>
    </row>
    <row r="213">
      <c r="A213" s="24" t="n">
        <v>204</v>
      </c>
      <c r="B213" s="27" t="inlineStr">
        <is>
          <t>Полюс Сухой Лог</t>
        </is>
      </c>
      <c r="C213" s="24" t="inlineStr">
        <is>
          <t>NTE240</t>
        </is>
      </c>
      <c r="D213" s="24" t="inlineStr"/>
      <c r="E213" s="24" t="inlineStr">
        <is>
          <t>1682</t>
        </is>
      </c>
      <c r="F213" s="24" t="inlineStr">
        <is>
          <t>план</t>
        </is>
      </c>
      <c r="G213" s="26" t="n">
        <v>47117</v>
      </c>
      <c r="H213" s="10">
        <f>IF(G213&lt;$D$5,$D$6,$D$7)</f>
        <v>24</v>
      </c>
      <c r="I213" s="26">
        <f>EDATE(G213,H213)</f>
        <v>47847</v>
      </c>
    </row>
    <row r="214">
      <c r="A214" s="24" t="n">
        <v>205</v>
      </c>
      <c r="B214" s="27" t="inlineStr">
        <is>
          <t>Полюс Сухой Лог</t>
        </is>
      </c>
      <c r="C214" s="24" t="inlineStr">
        <is>
          <t>NTE240</t>
        </is>
      </c>
      <c r="D214" s="24" t="inlineStr"/>
      <c r="E214" s="24" t="inlineStr">
        <is>
          <t>1683</t>
        </is>
      </c>
      <c r="F214" s="24" t="inlineStr">
        <is>
          <t>план</t>
        </is>
      </c>
      <c r="G214" s="26" t="n">
        <v>47119</v>
      </c>
      <c r="H214" s="10">
        <f>IF(G214&lt;$D$5,$D$6,$D$7)</f>
        <v>24</v>
      </c>
      <c r="I214" s="26">
        <f>EDATE(G214,H214)</f>
        <v>47849</v>
      </c>
    </row>
    <row r="215">
      <c r="A215" s="24" t="n">
        <v>206</v>
      </c>
      <c r="B215" s="27" t="inlineStr">
        <is>
          <t>Полюс Сухой Лог</t>
        </is>
      </c>
      <c r="C215" s="24" t="inlineStr">
        <is>
          <t>NTE240</t>
        </is>
      </c>
      <c r="D215" s="24" t="inlineStr"/>
      <c r="E215" s="24" t="inlineStr">
        <is>
          <t>1684</t>
        </is>
      </c>
      <c r="F215" s="24" t="inlineStr">
        <is>
          <t>план</t>
        </is>
      </c>
      <c r="G215" s="26" t="n">
        <v>47133</v>
      </c>
      <c r="H215" s="10">
        <f>IF(G215&lt;$D$5,$D$6,$D$7)</f>
        <v>24</v>
      </c>
      <c r="I215" s="26">
        <f>EDATE(G215,H215)</f>
        <v>47863</v>
      </c>
    </row>
    <row r="216">
      <c r="A216" s="24" t="n">
        <v>207</v>
      </c>
      <c r="B216" s="27" t="inlineStr">
        <is>
          <t>Полюс Сухой Лог</t>
        </is>
      </c>
      <c r="C216" s="24" t="inlineStr">
        <is>
          <t>NTE240</t>
        </is>
      </c>
      <c r="D216" s="24" t="inlineStr"/>
      <c r="E216" s="24" t="inlineStr">
        <is>
          <t>1685</t>
        </is>
      </c>
      <c r="F216" s="24" t="inlineStr">
        <is>
          <t>план</t>
        </is>
      </c>
      <c r="G216" s="26" t="n">
        <v>47148</v>
      </c>
      <c r="H216" s="10">
        <f>IF(G216&lt;$D$5,$D$6,$D$7)</f>
        <v>24</v>
      </c>
      <c r="I216" s="26">
        <f>EDATE(G216,H216)</f>
        <v>47878</v>
      </c>
    </row>
    <row r="217">
      <c r="A217" s="24" t="n">
        <v>208</v>
      </c>
      <c r="B217" s="28" t="inlineStr">
        <is>
          <t>Полюс Магадан</t>
        </is>
      </c>
      <c r="C217" s="24" t="inlineStr">
        <is>
          <t>NTE200</t>
        </is>
      </c>
      <c r="D217" s="24" t="inlineStr">
        <is>
          <t>NHLT0ABAVPB100085</t>
        </is>
      </c>
      <c r="E217" s="24" t="inlineStr">
        <is>
          <t>47</t>
        </is>
      </c>
      <c r="F217" s="24" t="inlineStr">
        <is>
          <t>факт</t>
        </is>
      </c>
      <c r="G217" s="26" t="n">
        <v>45326</v>
      </c>
      <c r="H217" s="10">
        <f>IF(G217&lt;$D$5,$D$6,$D$7)</f>
        <v>12</v>
      </c>
      <c r="I217" s="26">
        <f>EDATE(G217,H217)</f>
        <v>45692</v>
      </c>
    </row>
    <row r="218">
      <c r="A218" s="24" t="n">
        <v>209</v>
      </c>
      <c r="B218" s="28" t="inlineStr">
        <is>
          <t>Полюс Магадан</t>
        </is>
      </c>
      <c r="C218" s="24" t="inlineStr">
        <is>
          <t>NTE200</t>
        </is>
      </c>
      <c r="D218" s="24" t="inlineStr">
        <is>
          <t>NHLT0ABATPB100080</t>
        </is>
      </c>
      <c r="E218" s="24" t="inlineStr">
        <is>
          <t>45</t>
        </is>
      </c>
      <c r="F218" s="24" t="inlineStr">
        <is>
          <t>факт</t>
        </is>
      </c>
      <c r="G218" s="26" t="n">
        <v>45327</v>
      </c>
      <c r="H218" s="10">
        <f>IF(G218&lt;$D$5,$D$6,$D$7)</f>
        <v>12</v>
      </c>
      <c r="I218" s="26">
        <f>EDATE(G218,H218)</f>
        <v>45693</v>
      </c>
    </row>
    <row r="219">
      <c r="A219" s="24" t="n">
        <v>210</v>
      </c>
      <c r="B219" s="28" t="inlineStr">
        <is>
          <t>Полюс Магадан</t>
        </is>
      </c>
      <c r="C219" s="24" t="inlineStr">
        <is>
          <t>NTE200</t>
        </is>
      </c>
      <c r="D219" s="24" t="inlineStr">
        <is>
          <t>NHLT0ABAAPB100086</t>
        </is>
      </c>
      <c r="E219" s="24" t="inlineStr">
        <is>
          <t>48</t>
        </is>
      </c>
      <c r="F219" s="24" t="inlineStr">
        <is>
          <t>факт</t>
        </is>
      </c>
      <c r="G219" s="26" t="n">
        <v>45329</v>
      </c>
      <c r="H219" s="10">
        <f>IF(G219&lt;$D$5,$D$6,$D$7)</f>
        <v>12</v>
      </c>
      <c r="I219" s="26">
        <f>EDATE(G219,H219)</f>
        <v>45695</v>
      </c>
    </row>
    <row r="220">
      <c r="A220" s="24" t="n">
        <v>211</v>
      </c>
      <c r="B220" s="28" t="inlineStr">
        <is>
          <t>Полюс Магадан</t>
        </is>
      </c>
      <c r="C220" s="24" t="inlineStr">
        <is>
          <t>NTE200</t>
        </is>
      </c>
      <c r="D220" s="24" t="inlineStr">
        <is>
          <t>NHLT0ABAPPB100078</t>
        </is>
      </c>
      <c r="E220" s="24" t="inlineStr">
        <is>
          <t>43</t>
        </is>
      </c>
      <c r="F220" s="24" t="inlineStr">
        <is>
          <t>факт</t>
        </is>
      </c>
      <c r="G220" s="26" t="n">
        <v>45344</v>
      </c>
      <c r="H220" s="10">
        <f>IF(G220&lt;$D$5,$D$6,$D$7)</f>
        <v>12</v>
      </c>
      <c r="I220" s="26">
        <f>EDATE(G220,H220)</f>
        <v>45710</v>
      </c>
    </row>
    <row r="221">
      <c r="A221" s="24" t="n">
        <v>212</v>
      </c>
      <c r="B221" s="28" t="inlineStr">
        <is>
          <t>Полюс Магадан</t>
        </is>
      </c>
      <c r="C221" s="24" t="inlineStr">
        <is>
          <t>NTE200</t>
        </is>
      </c>
      <c r="D221" s="24" t="inlineStr">
        <is>
          <t>NHLT0ABACPB100084</t>
        </is>
      </c>
      <c r="E221" s="24" t="inlineStr">
        <is>
          <t>46</t>
        </is>
      </c>
      <c r="F221" s="24" t="inlineStr">
        <is>
          <t>факт</t>
        </is>
      </c>
      <c r="G221" s="26" t="n">
        <v>45345</v>
      </c>
      <c r="H221" s="10">
        <f>IF(G221&lt;$D$5,$D$6,$D$7)</f>
        <v>12</v>
      </c>
      <c r="I221" s="26">
        <f>EDATE(G221,H221)</f>
        <v>45711</v>
      </c>
    </row>
    <row r="222">
      <c r="A222" s="24" t="n">
        <v>213</v>
      </c>
      <c r="B222" s="28" t="inlineStr">
        <is>
          <t>Полюс Магадан</t>
        </is>
      </c>
      <c r="C222" s="24" t="inlineStr">
        <is>
          <t>NTE200</t>
        </is>
      </c>
      <c r="D222" s="24" t="inlineStr">
        <is>
          <t>NHLT0ABAKPB100079</t>
        </is>
      </c>
      <c r="E222" s="24" t="inlineStr">
        <is>
          <t>44</t>
        </is>
      </c>
      <c r="F222" s="24" t="inlineStr">
        <is>
          <t>факт</t>
        </is>
      </c>
      <c r="G222" s="26" t="n">
        <v>45349</v>
      </c>
      <c r="H222" s="10">
        <f>IF(G222&lt;$D$5,$D$6,$D$7)</f>
        <v>12</v>
      </c>
      <c r="I222" s="26">
        <f>EDATE(G222,H222)</f>
        <v>45715</v>
      </c>
    </row>
    <row r="223">
      <c r="A223" s="24" t="n">
        <v>214</v>
      </c>
      <c r="B223" s="28" t="inlineStr">
        <is>
          <t>Полюс Магадан</t>
        </is>
      </c>
      <c r="C223" s="24" t="inlineStr">
        <is>
          <t>NTE200</t>
        </is>
      </c>
      <c r="D223" s="24" t="inlineStr">
        <is>
          <t>NHLT0ABAPPB100081</t>
        </is>
      </c>
      <c r="E223" s="24" t="inlineStr">
        <is>
          <t>49</t>
        </is>
      </c>
      <c r="F223" s="24" t="inlineStr">
        <is>
          <t>факт</t>
        </is>
      </c>
      <c r="G223" s="26" t="n">
        <v>45355</v>
      </c>
      <c r="H223" s="10">
        <f>IF(G223&lt;$D$5,$D$6,$D$7)</f>
        <v>12</v>
      </c>
      <c r="I223" s="26">
        <f>EDATE(G223,H223)</f>
        <v>45720</v>
      </c>
    </row>
    <row r="224">
      <c r="A224" s="24" t="n">
        <v>215</v>
      </c>
      <c r="B224" s="28" t="inlineStr">
        <is>
          <t>Полюс Магадан</t>
        </is>
      </c>
      <c r="C224" s="24" t="inlineStr">
        <is>
          <t>NTE200</t>
        </is>
      </c>
      <c r="D224" s="24" t="inlineStr">
        <is>
          <t>NHLT0ABAKPB100082</t>
        </is>
      </c>
      <c r="E224" s="24" t="inlineStr">
        <is>
          <t>50</t>
        </is>
      </c>
      <c r="F224" s="24" t="inlineStr">
        <is>
          <t>факт</t>
        </is>
      </c>
      <c r="G224" s="26" t="n">
        <v>45358</v>
      </c>
      <c r="H224" s="10">
        <f>IF(G224&lt;$D$5,$D$6,$D$7)</f>
        <v>12</v>
      </c>
      <c r="I224" s="26">
        <f>EDATE(G224,H224)</f>
        <v>45723</v>
      </c>
    </row>
    <row r="225">
      <c r="A225" s="24" t="n">
        <v>216</v>
      </c>
      <c r="B225" s="28" t="inlineStr">
        <is>
          <t>Полюс Магадан</t>
        </is>
      </c>
      <c r="C225" s="24" t="inlineStr">
        <is>
          <t>NTE200</t>
        </is>
      </c>
      <c r="D225" s="24" t="inlineStr">
        <is>
          <t>NHLT0ABALPB100087</t>
        </is>
      </c>
      <c r="E225" s="24" t="inlineStr">
        <is>
          <t>52</t>
        </is>
      </c>
      <c r="F225" s="24" t="inlineStr">
        <is>
          <t>факт</t>
        </is>
      </c>
      <c r="G225" s="26" t="n">
        <v>45364</v>
      </c>
      <c r="H225" s="10">
        <f>IF(G225&lt;$D$5,$D$6,$D$7)</f>
        <v>12</v>
      </c>
      <c r="I225" s="26">
        <f>EDATE(G225,H225)</f>
        <v>45729</v>
      </c>
    </row>
    <row r="226">
      <c r="A226" s="24" t="n">
        <v>217</v>
      </c>
      <c r="B226" s="28" t="inlineStr">
        <is>
          <t>Полюс Магадан</t>
        </is>
      </c>
      <c r="C226" s="24" t="inlineStr">
        <is>
          <t>NTE200</t>
        </is>
      </c>
      <c r="D226" s="24" t="inlineStr">
        <is>
          <t>NHLT0ABAHPB100088</t>
        </is>
      </c>
      <c r="E226" s="24" t="inlineStr">
        <is>
          <t>53</t>
        </is>
      </c>
      <c r="F226" s="24" t="inlineStr">
        <is>
          <t>факт</t>
        </is>
      </c>
      <c r="G226" s="26" t="n">
        <v>45378</v>
      </c>
      <c r="H226" s="10">
        <f>IF(G226&lt;$D$5,$D$6,$D$7)</f>
        <v>12</v>
      </c>
      <c r="I226" s="26">
        <f>EDATE(G226,H226)</f>
        <v>45743</v>
      </c>
    </row>
    <row r="227">
      <c r="A227" s="24" t="n">
        <v>218</v>
      </c>
      <c r="B227" s="28" t="inlineStr">
        <is>
          <t>Полюс Магадан</t>
        </is>
      </c>
      <c r="C227" s="24" t="inlineStr">
        <is>
          <t>NTE200</t>
        </is>
      </c>
      <c r="D227" s="24" t="inlineStr">
        <is>
          <t>NHLT0ABAJPB100083</t>
        </is>
      </c>
      <c r="E227" s="24" t="inlineStr">
        <is>
          <t>51</t>
        </is>
      </c>
      <c r="F227" s="24" t="inlineStr">
        <is>
          <t>факт</t>
        </is>
      </c>
      <c r="G227" s="26" t="n">
        <v>45379</v>
      </c>
      <c r="H227" s="10">
        <f>IF(G227&lt;$D$5,$D$6,$D$7)</f>
        <v>12</v>
      </c>
      <c r="I227" s="26">
        <f>EDATE(G227,H227)</f>
        <v>45744</v>
      </c>
    </row>
    <row r="228">
      <c r="A228" s="24" t="n">
        <v>219</v>
      </c>
      <c r="B228" s="28" t="inlineStr">
        <is>
          <t>Полюс Магадан</t>
        </is>
      </c>
      <c r="C228" s="24" t="inlineStr">
        <is>
          <t>NTE200</t>
        </is>
      </c>
      <c r="D228" s="24" t="inlineStr">
        <is>
          <t>NHLT0ABAEPB100089</t>
        </is>
      </c>
      <c r="E228" s="24" t="inlineStr">
        <is>
          <t>54</t>
        </is>
      </c>
      <c r="F228" s="24" t="inlineStr">
        <is>
          <t>факт</t>
        </is>
      </c>
      <c r="G228" s="26" t="n">
        <v>45391</v>
      </c>
      <c r="H228" s="10">
        <f>IF(G228&lt;$D$5,$D$6,$D$7)</f>
        <v>12</v>
      </c>
      <c r="I228" s="26">
        <f>EDATE(G228,H228)</f>
        <v>45756</v>
      </c>
    </row>
    <row r="229">
      <c r="A229" s="24" t="n">
        <v>220</v>
      </c>
      <c r="B229" s="28" t="inlineStr">
        <is>
          <t>Полюс Магадан</t>
        </is>
      </c>
      <c r="C229" s="24" t="inlineStr">
        <is>
          <t>NTE200</t>
        </is>
      </c>
      <c r="D229" s="24" t="inlineStr">
        <is>
          <t>NHLT0ABAKPB100096</t>
        </is>
      </c>
      <c r="E229" s="24" t="inlineStr">
        <is>
          <t>55</t>
        </is>
      </c>
      <c r="F229" s="24" t="inlineStr">
        <is>
          <t>факт</t>
        </is>
      </c>
      <c r="G229" s="26" t="n">
        <v>45394</v>
      </c>
      <c r="H229" s="10">
        <f>IF(G229&lt;$D$5,$D$6,$D$7)</f>
        <v>12</v>
      </c>
      <c r="I229" s="26">
        <f>EDATE(G229,H229)</f>
        <v>45759</v>
      </c>
    </row>
    <row r="230">
      <c r="A230" s="24" t="n">
        <v>221</v>
      </c>
      <c r="B230" s="28" t="inlineStr">
        <is>
          <t>Полюс Магадан</t>
        </is>
      </c>
      <c r="C230" s="24" t="inlineStr">
        <is>
          <t>NTE200</t>
        </is>
      </c>
      <c r="D230" s="24" t="inlineStr">
        <is>
          <t>NHLT0ABAHPB100091</t>
        </is>
      </c>
      <c r="E230" s="24" t="inlineStr">
        <is>
          <t>56</t>
        </is>
      </c>
      <c r="F230" s="24" t="inlineStr">
        <is>
          <t>факт</t>
        </is>
      </c>
      <c r="G230" s="26" t="n">
        <v>45399</v>
      </c>
      <c r="H230" s="10">
        <f>IF(G230&lt;$D$5,$D$6,$D$7)</f>
        <v>12</v>
      </c>
      <c r="I230" s="26">
        <f>EDATE(G230,H230)</f>
        <v>45764</v>
      </c>
    </row>
    <row r="231">
      <c r="A231" s="24" t="n">
        <v>222</v>
      </c>
      <c r="B231" s="28" t="inlineStr">
        <is>
          <t>Полюс Магадан</t>
        </is>
      </c>
      <c r="C231" s="24" t="inlineStr">
        <is>
          <t>NTE200</t>
        </is>
      </c>
      <c r="D231" s="24" t="inlineStr">
        <is>
          <t>NHLT0ABATPB100094</t>
        </is>
      </c>
      <c r="E231" s="24" t="inlineStr">
        <is>
          <t>57</t>
        </is>
      </c>
      <c r="F231" s="24" t="inlineStr">
        <is>
          <t>факт</t>
        </is>
      </c>
      <c r="G231" s="26" t="n">
        <v>45405</v>
      </c>
      <c r="H231" s="10">
        <f>IF(G231&lt;$D$5,$D$6,$D$7)</f>
        <v>12</v>
      </c>
      <c r="I231" s="26">
        <f>EDATE(G231,H231)</f>
        <v>45770</v>
      </c>
    </row>
    <row r="232">
      <c r="A232" s="24" t="n">
        <v>223</v>
      </c>
      <c r="B232" s="28" t="inlineStr">
        <is>
          <t>Полюс Магадан</t>
        </is>
      </c>
      <c r="C232" s="24" t="inlineStr">
        <is>
          <t>NTE200</t>
        </is>
      </c>
      <c r="D232" s="24" t="inlineStr">
        <is>
          <t>NHLT0ABAPPB100095</t>
        </is>
      </c>
      <c r="E232" s="24" t="inlineStr">
        <is>
          <t>58</t>
        </is>
      </c>
      <c r="F232" s="24" t="inlineStr">
        <is>
          <t>факт</t>
        </is>
      </c>
      <c r="G232" s="26" t="n">
        <v>45412</v>
      </c>
      <c r="H232" s="10">
        <f>IF(G232&lt;$D$5,$D$6,$D$7)</f>
        <v>12</v>
      </c>
      <c r="I232" s="26">
        <f>EDATE(G232,H232)</f>
        <v>45777</v>
      </c>
    </row>
    <row r="233">
      <c r="A233" s="24" t="n">
        <v>224</v>
      </c>
      <c r="B233" s="28" t="inlineStr">
        <is>
          <t>Полюс Магадан</t>
        </is>
      </c>
      <c r="C233" s="24" t="inlineStr">
        <is>
          <t>NTE200</t>
        </is>
      </c>
      <c r="D233" s="24" t="inlineStr">
        <is>
          <t>NHLT0ABACPB100098</t>
        </is>
      </c>
      <c r="E233" s="24" t="inlineStr">
        <is>
          <t>59</t>
        </is>
      </c>
      <c r="F233" s="24" t="inlineStr">
        <is>
          <t>факт</t>
        </is>
      </c>
      <c r="G233" s="26" t="n">
        <v>45416</v>
      </c>
      <c r="H233" s="10">
        <f>IF(G233&lt;$D$5,$D$6,$D$7)</f>
        <v>12</v>
      </c>
      <c r="I233" s="26">
        <f>EDATE(G233,H233)</f>
        <v>45781</v>
      </c>
    </row>
    <row r="234">
      <c r="A234" s="24" t="n">
        <v>225</v>
      </c>
      <c r="B234" s="28" t="inlineStr">
        <is>
          <t>Полюс Магадан</t>
        </is>
      </c>
      <c r="C234" s="24" t="inlineStr">
        <is>
          <t>NTE200</t>
        </is>
      </c>
      <c r="D234" s="24" t="inlineStr">
        <is>
          <t>NHLT0ABATPB100077</t>
        </is>
      </c>
      <c r="E234" s="24" t="inlineStr">
        <is>
          <t>60</t>
        </is>
      </c>
      <c r="F234" s="24" t="inlineStr">
        <is>
          <t>факт</t>
        </is>
      </c>
      <c r="G234" s="26" t="n">
        <v>45417</v>
      </c>
      <c r="H234" s="10">
        <f>IF(G234&lt;$D$5,$D$6,$D$7)</f>
        <v>12</v>
      </c>
      <c r="I234" s="26">
        <f>EDATE(G234,H234)</f>
        <v>45782</v>
      </c>
    </row>
    <row r="235">
      <c r="A235" s="24" t="n">
        <v>226</v>
      </c>
      <c r="B235" s="28" t="inlineStr">
        <is>
          <t>Полюс Магадан</t>
        </is>
      </c>
      <c r="C235" s="24" t="inlineStr">
        <is>
          <t>NTE200</t>
        </is>
      </c>
      <c r="D235" s="24" t="inlineStr">
        <is>
          <t>NHLT0ABAEPB100092</t>
        </is>
      </c>
      <c r="E235" s="24" t="inlineStr">
        <is>
          <t>61</t>
        </is>
      </c>
      <c r="F235" s="24" t="inlineStr">
        <is>
          <t>факт</t>
        </is>
      </c>
      <c r="G235" s="26" t="n">
        <v>45423</v>
      </c>
      <c r="H235" s="10">
        <f>IF(G235&lt;$D$5,$D$6,$D$7)</f>
        <v>12</v>
      </c>
      <c r="I235" s="26">
        <f>EDATE(G235,H235)</f>
        <v>45788</v>
      </c>
    </row>
    <row r="236">
      <c r="A236" s="24" t="n">
        <v>227</v>
      </c>
      <c r="B236" s="28" t="inlineStr">
        <is>
          <t>Полюс Магадан</t>
        </is>
      </c>
      <c r="C236" s="24" t="inlineStr">
        <is>
          <t>NTE200</t>
        </is>
      </c>
      <c r="D236" s="24" t="inlineStr">
        <is>
          <t>NHLT0ABACPB100093</t>
        </is>
      </c>
      <c r="E236" s="24" t="inlineStr">
        <is>
          <t>62</t>
        </is>
      </c>
      <c r="F236" s="24" t="inlineStr">
        <is>
          <t>факт</t>
        </is>
      </c>
      <c r="G236" s="26" t="n">
        <v>45423</v>
      </c>
      <c r="H236" s="10">
        <f>IF(G236&lt;$D$5,$D$6,$D$7)</f>
        <v>12</v>
      </c>
      <c r="I236" s="26">
        <f>EDATE(G236,H236)</f>
        <v>45788</v>
      </c>
    </row>
    <row r="237">
      <c r="A237" s="24" t="n">
        <v>228</v>
      </c>
      <c r="B237" s="28" t="inlineStr">
        <is>
          <t>Полюс Магадан</t>
        </is>
      </c>
      <c r="C237" s="24" t="inlineStr">
        <is>
          <t>NTE200</t>
        </is>
      </c>
      <c r="D237" s="24" t="inlineStr">
        <is>
          <t>NHLT0ABAPRB100102</t>
        </is>
      </c>
      <c r="E237" s="24" t="inlineStr">
        <is>
          <t>63</t>
        </is>
      </c>
      <c r="F237" s="24" t="inlineStr">
        <is>
          <t>факт</t>
        </is>
      </c>
      <c r="G237" s="26" t="n">
        <v>45654</v>
      </c>
      <c r="H237" s="10">
        <f>IF(G237&lt;$D$5,$D$6,$D$7)</f>
        <v>12</v>
      </c>
      <c r="I237" s="26">
        <f>EDATE(G237,H237)</f>
        <v>46019</v>
      </c>
    </row>
    <row r="238">
      <c r="A238" s="24" t="n">
        <v>229</v>
      </c>
      <c r="B238" s="28" t="inlineStr">
        <is>
          <t>Полюс Магадан</t>
        </is>
      </c>
      <c r="C238" s="24" t="inlineStr">
        <is>
          <t>NTE200</t>
        </is>
      </c>
      <c r="D238" s="24" t="inlineStr">
        <is>
          <t>NHLT0ABAHRB100109</t>
        </is>
      </c>
      <c r="E238" s="24" t="inlineStr">
        <is>
          <t>65</t>
        </is>
      </c>
      <c r="F238" s="24" t="inlineStr">
        <is>
          <t>факт</t>
        </is>
      </c>
      <c r="G238" s="26" t="n">
        <v>45655</v>
      </c>
      <c r="H238" s="10">
        <f>IF(G238&lt;$D$5,$D$6,$D$7)</f>
        <v>12</v>
      </c>
      <c r="I238" s="26">
        <f>EDATE(G238,H238)</f>
        <v>46020</v>
      </c>
    </row>
    <row r="239">
      <c r="A239" s="24" t="n">
        <v>230</v>
      </c>
      <c r="B239" s="28" t="inlineStr">
        <is>
          <t>Полюс Магадан</t>
        </is>
      </c>
      <c r="C239" s="24" t="inlineStr">
        <is>
          <t>NTE200</t>
        </is>
      </c>
      <c r="D239" s="24" t="inlineStr">
        <is>
          <t>NHLT0ABALRB100108</t>
        </is>
      </c>
      <c r="E239" s="24" t="inlineStr">
        <is>
          <t>64</t>
        </is>
      </c>
      <c r="F239" s="24" t="inlineStr">
        <is>
          <t>факт</t>
        </is>
      </c>
      <c r="G239" s="26" t="n">
        <v>45659</v>
      </c>
      <c r="H239" s="10">
        <f>IF(G239&lt;$D$5,$D$6,$D$7)</f>
        <v>12</v>
      </c>
      <c r="I239" s="26">
        <f>EDATE(G239,H239)</f>
        <v>46024</v>
      </c>
    </row>
    <row r="240">
      <c r="A240" s="24" t="n">
        <v>231</v>
      </c>
      <c r="B240" s="28" t="inlineStr">
        <is>
          <t>Полюс Магадан</t>
        </is>
      </c>
      <c r="C240" s="24" t="inlineStr">
        <is>
          <t>NTE200</t>
        </is>
      </c>
      <c r="D240" s="24" t="inlineStr">
        <is>
          <t>NHLT0ABAARB100107</t>
        </is>
      </c>
      <c r="E240" s="24" t="inlineStr">
        <is>
          <t>66</t>
        </is>
      </c>
      <c r="F240" s="24" t="inlineStr">
        <is>
          <t>факт</t>
        </is>
      </c>
      <c r="G240" s="26" t="n">
        <v>45665</v>
      </c>
      <c r="H240" s="10">
        <f>IF(G240&lt;$D$5,$D$6,$D$7)</f>
        <v>12</v>
      </c>
      <c r="I240" s="26">
        <f>EDATE(G240,H240)</f>
        <v>46030</v>
      </c>
    </row>
    <row r="241">
      <c r="A241" s="24" t="n">
        <v>232</v>
      </c>
      <c r="B241" s="28" t="inlineStr">
        <is>
          <t>Полюс Магадан</t>
        </is>
      </c>
      <c r="C241" s="24" t="inlineStr">
        <is>
          <t>NTE200</t>
        </is>
      </c>
      <c r="D241" s="24" t="inlineStr">
        <is>
          <t>NHLT0ABATRB100101</t>
        </is>
      </c>
      <c r="E241" s="24" t="inlineStr">
        <is>
          <t>67</t>
        </is>
      </c>
      <c r="F241" s="24" t="inlineStr">
        <is>
          <t>факт</t>
        </is>
      </c>
      <c r="G241" s="26" t="n">
        <v>45665</v>
      </c>
      <c r="H241" s="10">
        <f>IF(G241&lt;$D$5,$D$6,$D$7)</f>
        <v>12</v>
      </c>
      <c r="I241" s="26">
        <f>EDATE(G241,H241)</f>
        <v>46030</v>
      </c>
    </row>
    <row r="242">
      <c r="A242" s="24" t="n">
        <v>233</v>
      </c>
      <c r="B242" s="28" t="inlineStr">
        <is>
          <t>Полюс Магадан</t>
        </is>
      </c>
      <c r="C242" s="24" t="inlineStr">
        <is>
          <t>NTE200</t>
        </is>
      </c>
      <c r="D242" s="24" t="inlineStr">
        <is>
          <t>NHLT0ABAPRB100097</t>
        </is>
      </c>
      <c r="E242" s="24" t="inlineStr">
        <is>
          <t>69</t>
        </is>
      </c>
      <c r="F242" s="24" t="inlineStr">
        <is>
          <t>факт</t>
        </is>
      </c>
      <c r="G242" s="26" t="n">
        <v>45666</v>
      </c>
      <c r="H242" s="10">
        <f>IF(G242&lt;$D$5,$D$6,$D$7)</f>
        <v>12</v>
      </c>
      <c r="I242" s="26">
        <f>EDATE(G242,H242)</f>
        <v>46031</v>
      </c>
    </row>
    <row r="243">
      <c r="A243" s="24" t="n">
        <v>234</v>
      </c>
      <c r="B243" s="28" t="inlineStr">
        <is>
          <t>Полюс Магадан</t>
        </is>
      </c>
      <c r="C243" s="24" t="inlineStr">
        <is>
          <t>NTE200</t>
        </is>
      </c>
      <c r="D243" s="24" t="inlineStr">
        <is>
          <t>NHLT0ABAARB100110</t>
        </is>
      </c>
      <c r="E243" s="24" t="inlineStr">
        <is>
          <t>70</t>
        </is>
      </c>
      <c r="F243" s="24" t="inlineStr">
        <is>
          <t>факт</t>
        </is>
      </c>
      <c r="G243" s="26" t="n">
        <v>45666</v>
      </c>
      <c r="H243" s="10">
        <f>IF(G243&lt;$D$5,$D$6,$D$7)</f>
        <v>12</v>
      </c>
      <c r="I243" s="26">
        <f>EDATE(G243,H243)</f>
        <v>46031</v>
      </c>
    </row>
    <row r="244">
      <c r="A244" s="24" t="n">
        <v>235</v>
      </c>
      <c r="B244" s="28" t="inlineStr">
        <is>
          <t>Полюс Магадан</t>
        </is>
      </c>
      <c r="C244" s="24" t="inlineStr">
        <is>
          <t>NTE200</t>
        </is>
      </c>
      <c r="D244" s="24" t="inlineStr">
        <is>
          <t>NHLT0ABACRB100100</t>
        </is>
      </c>
      <c r="E244" s="24" t="inlineStr">
        <is>
          <t>68</t>
        </is>
      </c>
      <c r="F244" s="24" t="inlineStr">
        <is>
          <t>факт</t>
        </is>
      </c>
      <c r="G244" s="26" t="n">
        <v>45667</v>
      </c>
      <c r="H244" s="10">
        <f>IF(G244&lt;$D$5,$D$6,$D$7)</f>
        <v>12</v>
      </c>
      <c r="I244" s="26">
        <f>EDATE(G244,H244)</f>
        <v>46032</v>
      </c>
    </row>
    <row r="245">
      <c r="A245" s="24" t="n">
        <v>236</v>
      </c>
      <c r="B245" s="28" t="inlineStr">
        <is>
          <t>Полюс Магадан</t>
        </is>
      </c>
      <c r="C245" s="24" t="inlineStr">
        <is>
          <t>NTE200</t>
        </is>
      </c>
      <c r="D245" s="24" t="inlineStr">
        <is>
          <t>NHLT0ABAVRB100090</t>
        </is>
      </c>
      <c r="E245" s="24" t="inlineStr">
        <is>
          <t>71</t>
        </is>
      </c>
      <c r="F245" s="24" t="inlineStr">
        <is>
          <t>факт</t>
        </is>
      </c>
      <c r="G245" s="26" t="n">
        <v>45693</v>
      </c>
      <c r="H245" s="10">
        <f>IF(G245&lt;$D$5,$D$6,$D$7)</f>
        <v>12</v>
      </c>
      <c r="I245" s="26">
        <f>EDATE(G245,H245)</f>
        <v>46058</v>
      </c>
    </row>
    <row r="246">
      <c r="A246" s="24" t="n">
        <v>237</v>
      </c>
      <c r="B246" s="28" t="inlineStr">
        <is>
          <t>Полюс Магадан</t>
        </is>
      </c>
      <c r="C246" s="24" t="inlineStr">
        <is>
          <t>NTE200</t>
        </is>
      </c>
      <c r="D246" s="24" t="inlineStr">
        <is>
          <t>NHLT0ABAVRB100106</t>
        </is>
      </c>
      <c r="E246" s="24" t="inlineStr">
        <is>
          <t>72</t>
        </is>
      </c>
      <c r="F246" s="24" t="inlineStr">
        <is>
          <t>факт</t>
        </is>
      </c>
      <c r="G246" s="26" t="n">
        <v>45697</v>
      </c>
      <c r="H246" s="10">
        <f>IF(G246&lt;$D$5,$D$6,$D$7)</f>
        <v>12</v>
      </c>
      <c r="I246" s="26">
        <f>EDATE(G246,H246)</f>
        <v>46062</v>
      </c>
    </row>
    <row r="247">
      <c r="A247" s="24" t="n">
        <v>238</v>
      </c>
      <c r="B247" s="28" t="inlineStr">
        <is>
          <t>Полюс Магадан</t>
        </is>
      </c>
      <c r="C247" s="24" t="inlineStr">
        <is>
          <t>NTE200</t>
        </is>
      </c>
      <c r="D247" s="24" t="inlineStr">
        <is>
          <t>NHLT0ABAHRB100112</t>
        </is>
      </c>
      <c r="E247" s="24" t="inlineStr">
        <is>
          <t>73</t>
        </is>
      </c>
      <c r="F247" s="24" t="inlineStr">
        <is>
          <t>факт</t>
        </is>
      </c>
      <c r="G247" s="26" t="n">
        <v>45700</v>
      </c>
      <c r="H247" s="10">
        <f>IF(G247&lt;$D$5,$D$6,$D$7)</f>
        <v>12</v>
      </c>
      <c r="I247" s="26">
        <f>EDATE(G247,H247)</f>
        <v>46065</v>
      </c>
    </row>
    <row r="248">
      <c r="A248" s="24" t="n">
        <v>239</v>
      </c>
      <c r="B248" s="28" t="inlineStr">
        <is>
          <t>Полюс Магадан</t>
        </is>
      </c>
      <c r="C248" s="24" t="inlineStr">
        <is>
          <t>NTE200</t>
        </is>
      </c>
      <c r="D248" s="24" t="inlineStr">
        <is>
          <t>NHLT0ABALRB100111</t>
        </is>
      </c>
      <c r="E248" s="24" t="inlineStr">
        <is>
          <t>74</t>
        </is>
      </c>
      <c r="F248" s="24" t="inlineStr">
        <is>
          <t>факт</t>
        </is>
      </c>
      <c r="G248" s="26" t="n">
        <v>45704</v>
      </c>
      <c r="H248" s="10">
        <f>IF(G248&lt;$D$5,$D$6,$D$7)</f>
        <v>12</v>
      </c>
      <c r="I248" s="26">
        <f>EDATE(G248,H248)</f>
        <v>46069</v>
      </c>
    </row>
    <row r="249">
      <c r="A249" s="24" t="n">
        <v>240</v>
      </c>
      <c r="B249" s="28" t="inlineStr">
        <is>
          <t>Полюс Магадан</t>
        </is>
      </c>
      <c r="C249" s="24" t="inlineStr">
        <is>
          <t>NTE200</t>
        </is>
      </c>
      <c r="D249" s="24" t="inlineStr">
        <is>
          <t>NHLT0ABAJRB100099</t>
        </is>
      </c>
      <c r="E249" s="24" t="inlineStr">
        <is>
          <t>75</t>
        </is>
      </c>
      <c r="F249" s="24" t="inlineStr">
        <is>
          <t>факт</t>
        </is>
      </c>
      <c r="G249" s="26" t="n">
        <v>45710</v>
      </c>
      <c r="H249" s="10">
        <f>IF(G249&lt;$D$5,$D$6,$D$7)</f>
        <v>12</v>
      </c>
      <c r="I249" s="26">
        <f>EDATE(G249,H249)</f>
        <v>46075</v>
      </c>
    </row>
    <row r="250">
      <c r="A250" s="24" t="n">
        <v>241</v>
      </c>
      <c r="B250" s="28" t="inlineStr">
        <is>
          <t>Полюс Магадан</t>
        </is>
      </c>
      <c r="C250" s="24" t="inlineStr">
        <is>
          <t>NTE200</t>
        </is>
      </c>
      <c r="D250" s="24" t="inlineStr">
        <is>
          <t>NHLT0ABACRB100105</t>
        </is>
      </c>
      <c r="E250" s="24" t="inlineStr">
        <is>
          <t>76</t>
        </is>
      </c>
      <c r="F250" s="24" t="inlineStr">
        <is>
          <t>факт</t>
        </is>
      </c>
      <c r="G250" s="26" t="n">
        <v>45716</v>
      </c>
      <c r="H250" s="10">
        <f>IF(G250&lt;$D$5,$D$6,$D$7)</f>
        <v>12</v>
      </c>
      <c r="I250" s="26">
        <f>EDATE(G250,H250)</f>
        <v>46081</v>
      </c>
    </row>
    <row r="251">
      <c r="A251" s="24" t="n">
        <v>242</v>
      </c>
      <c r="B251" s="28" t="inlineStr">
        <is>
          <t>Полюс Магадан</t>
        </is>
      </c>
      <c r="C251" s="24" t="inlineStr">
        <is>
          <t>NTE200</t>
        </is>
      </c>
      <c r="D251" s="24" t="inlineStr">
        <is>
          <t>NHLT0ABAKRB100103</t>
        </is>
      </c>
      <c r="E251" s="24" t="inlineStr">
        <is>
          <t>77</t>
        </is>
      </c>
      <c r="F251" s="24" t="inlineStr">
        <is>
          <t>факт</t>
        </is>
      </c>
      <c r="G251" s="26" t="n">
        <v>45719</v>
      </c>
      <c r="H251" s="10">
        <f>IF(G251&lt;$D$5,$D$6,$D$7)</f>
        <v>12</v>
      </c>
      <c r="I251" s="26">
        <f>EDATE(G251,H251)</f>
        <v>46084</v>
      </c>
    </row>
    <row r="252">
      <c r="A252" s="24" t="n">
        <v>243</v>
      </c>
      <c r="B252" s="28" t="inlineStr">
        <is>
          <t>Полюс Магадан</t>
        </is>
      </c>
      <c r="C252" s="24" t="inlineStr">
        <is>
          <t>NTE200</t>
        </is>
      </c>
      <c r="D252" s="24" t="inlineStr">
        <is>
          <t>NHLT0ABAJRB100104</t>
        </is>
      </c>
      <c r="E252" s="24" t="inlineStr">
        <is>
          <t>78</t>
        </is>
      </c>
      <c r="F252" s="24" t="inlineStr">
        <is>
          <t>факт</t>
        </is>
      </c>
      <c r="G252" s="26" t="n">
        <v>45724</v>
      </c>
      <c r="H252" s="10">
        <f>IF(G252&lt;$D$5,$D$6,$D$7)</f>
        <v>12</v>
      </c>
      <c r="I252" s="26">
        <f>EDATE(G252,H252)</f>
        <v>46089</v>
      </c>
    </row>
    <row r="253">
      <c r="A253" s="24" t="n">
        <v>244</v>
      </c>
      <c r="B253" s="28" t="inlineStr">
        <is>
          <t>Полюс Магадан</t>
        </is>
      </c>
      <c r="C253" s="24" t="inlineStr">
        <is>
          <t>NTE200</t>
        </is>
      </c>
      <c r="D253" s="24" t="inlineStr">
        <is>
          <t>NHLT0ABAKSB100124</t>
        </is>
      </c>
      <c r="E253" s="24" t="inlineStr">
        <is>
          <t>79</t>
        </is>
      </c>
      <c r="F253" s="24" t="inlineStr">
        <is>
          <t>факт</t>
        </is>
      </c>
      <c r="G253" s="26" t="n">
        <v>45945</v>
      </c>
      <c r="H253" s="10">
        <f>IF(G253&lt;$D$5,$D$6,$D$7)</f>
        <v>24</v>
      </c>
      <c r="I253" s="26">
        <f>EDATE(G253,H253)</f>
        <v>46675</v>
      </c>
    </row>
    <row r="254">
      <c r="A254" s="24" t="n">
        <v>245</v>
      </c>
      <c r="B254" s="28" t="inlineStr">
        <is>
          <t>Полюс Магадан</t>
        </is>
      </c>
      <c r="C254" s="24" t="inlineStr">
        <is>
          <t>NTE200</t>
        </is>
      </c>
      <c r="D254" s="24" t="inlineStr">
        <is>
          <t>NHLT0ABAPSB100123</t>
        </is>
      </c>
      <c r="E254" s="24" t="inlineStr">
        <is>
          <t>81</t>
        </is>
      </c>
      <c r="F254" s="24" t="inlineStr">
        <is>
          <t>факт</t>
        </is>
      </c>
      <c r="G254" s="26" t="n">
        <v>45957</v>
      </c>
      <c r="H254" s="10">
        <f>IF(G254&lt;$D$5,$D$6,$D$7)</f>
        <v>24</v>
      </c>
      <c r="I254" s="26">
        <f>EDATE(G254,H254)</f>
        <v>46687</v>
      </c>
    </row>
    <row r="255">
      <c r="A255" s="24" t="n">
        <v>246</v>
      </c>
      <c r="B255" s="28" t="inlineStr">
        <is>
          <t>Полюс Магадан</t>
        </is>
      </c>
      <c r="C255" s="24" t="inlineStr">
        <is>
          <t>NTE200</t>
        </is>
      </c>
      <c r="D255" s="24" t="inlineStr">
        <is>
          <t>NHLT0ABAJSB100125</t>
        </is>
      </c>
      <c r="E255" s="24" t="inlineStr">
        <is>
          <t>80</t>
        </is>
      </c>
      <c r="F255" s="24" t="inlineStr">
        <is>
          <t>факт</t>
        </is>
      </c>
      <c r="G255" s="26" t="n">
        <v>45960</v>
      </c>
      <c r="H255" s="10">
        <f>IF(G255&lt;$D$5,$D$6,$D$7)</f>
        <v>24</v>
      </c>
      <c r="I255" s="26">
        <f>EDATE(G255,H255)</f>
        <v>46690</v>
      </c>
    </row>
    <row r="256">
      <c r="A256" s="24" t="n">
        <v>247</v>
      </c>
      <c r="B256" s="28" t="inlineStr">
        <is>
          <t>Полюс Магадан</t>
        </is>
      </c>
      <c r="C256" s="24" t="inlineStr">
        <is>
          <t>NTE200</t>
        </is>
      </c>
      <c r="D256" s="24" t="inlineStr">
        <is>
          <t>NHLT0ABAVSB100127</t>
        </is>
      </c>
      <c r="E256" s="24" t="inlineStr">
        <is>
          <t>83</t>
        </is>
      </c>
      <c r="F256" s="24" t="inlineStr">
        <is>
          <t>факт</t>
        </is>
      </c>
      <c r="G256" s="26" t="n">
        <v>45986</v>
      </c>
      <c r="H256" s="10">
        <f>IF(G256&lt;$D$5,$D$6,$D$7)</f>
        <v>24</v>
      </c>
      <c r="I256" s="26">
        <f>EDATE(G256,H256)</f>
        <v>46716</v>
      </c>
    </row>
    <row r="257">
      <c r="A257" s="24" t="n">
        <v>248</v>
      </c>
      <c r="B257" s="28" t="inlineStr">
        <is>
          <t>Полюс Магадан</t>
        </is>
      </c>
      <c r="C257" s="24" t="inlineStr">
        <is>
          <t>NTE200</t>
        </is>
      </c>
      <c r="D257" s="24" t="inlineStr">
        <is>
          <t>NHLT0ABACSB100126</t>
        </is>
      </c>
      <c r="E257" s="24" t="inlineStr">
        <is>
          <t>82</t>
        </is>
      </c>
      <c r="F257" s="24" t="inlineStr">
        <is>
          <t>факт</t>
        </is>
      </c>
      <c r="G257" s="26" t="n">
        <v>45992</v>
      </c>
      <c r="H257" s="10">
        <f>IF(G257&lt;$D$5,$D$6,$D$7)</f>
        <v>24</v>
      </c>
      <c r="I257" s="26">
        <f>EDATE(G257,H257)</f>
        <v>46722</v>
      </c>
    </row>
    <row r="258">
      <c r="A258" s="24" t="n">
        <v>249</v>
      </c>
      <c r="B258" s="28" t="inlineStr">
        <is>
          <t>Полюс Магадан</t>
        </is>
      </c>
      <c r="C258" s="24" t="inlineStr">
        <is>
          <t>NTE200</t>
        </is>
      </c>
      <c r="D258" s="24" t="inlineStr">
        <is>
          <t>NHLT0ABALSB100129</t>
        </is>
      </c>
      <c r="E258" s="24" t="inlineStr">
        <is>
          <t>85</t>
        </is>
      </c>
      <c r="F258" s="24" t="inlineStr">
        <is>
          <t>факт</t>
        </is>
      </c>
      <c r="G258" s="26" t="n">
        <v>45993</v>
      </c>
      <c r="H258" s="10">
        <f>IF(G258&lt;$D$5,$D$6,$D$7)</f>
        <v>24</v>
      </c>
      <c r="I258" s="26">
        <f>EDATE(G258,H258)</f>
        <v>46723</v>
      </c>
    </row>
    <row r="259">
      <c r="A259" s="24" t="n">
        <v>250</v>
      </c>
      <c r="B259" s="28" t="inlineStr">
        <is>
          <t>Полюс Магадан</t>
        </is>
      </c>
      <c r="C259" s="24" t="inlineStr">
        <is>
          <t>NTE200</t>
        </is>
      </c>
      <c r="D259" s="24" t="inlineStr">
        <is>
          <t>NHLT0ABAASB100131</t>
        </is>
      </c>
      <c r="E259" s="24" t="inlineStr">
        <is>
          <t>87</t>
        </is>
      </c>
      <c r="F259" s="24" t="inlineStr">
        <is>
          <t>факт</t>
        </is>
      </c>
      <c r="G259" s="26" t="n">
        <v>46000</v>
      </c>
      <c r="H259" s="10">
        <f>IF(G259&lt;$D$5,$D$6,$D$7)</f>
        <v>24</v>
      </c>
      <c r="I259" s="26">
        <f>EDATE(G259,H259)</f>
        <v>46730</v>
      </c>
    </row>
    <row r="260">
      <c r="A260" s="24" t="n">
        <v>251</v>
      </c>
      <c r="B260" s="28" t="inlineStr">
        <is>
          <t>Полюс Магадан</t>
        </is>
      </c>
      <c r="C260" s="24" t="inlineStr">
        <is>
          <t>NTE200</t>
        </is>
      </c>
      <c r="D260" s="24" t="inlineStr">
        <is>
          <t>NHLT0ABAVSB100130</t>
        </is>
      </c>
      <c r="E260" s="24" t="inlineStr">
        <is>
          <t>86</t>
        </is>
      </c>
      <c r="F260" s="24" t="inlineStr">
        <is>
          <t>факт</t>
        </is>
      </c>
      <c r="G260" s="26" t="n">
        <v>46004</v>
      </c>
      <c r="H260" s="10">
        <f>IF(G260&lt;$D$5,$D$6,$D$7)</f>
        <v>24</v>
      </c>
      <c r="I260" s="26">
        <f>EDATE(G260,H260)</f>
        <v>46734</v>
      </c>
    </row>
    <row r="261">
      <c r="A261" s="24" t="n">
        <v>252</v>
      </c>
      <c r="B261" s="28" t="inlineStr">
        <is>
          <t>Полюс Магадан</t>
        </is>
      </c>
      <c r="C261" s="24" t="inlineStr">
        <is>
          <t>NTE200</t>
        </is>
      </c>
      <c r="D261" s="24" t="inlineStr">
        <is>
          <t>NHLT0ABAHSB100133</t>
        </is>
      </c>
      <c r="E261" s="24" t="inlineStr">
        <is>
          <t>89</t>
        </is>
      </c>
      <c r="F261" s="24" t="inlineStr">
        <is>
          <t>факт</t>
        </is>
      </c>
      <c r="G261" s="26" t="n">
        <v>46009</v>
      </c>
      <c r="H261" s="10">
        <f>IF(G261&lt;$D$5,$D$6,$D$7)</f>
        <v>24</v>
      </c>
      <c r="I261" s="26">
        <f>EDATE(G261,H261)</f>
        <v>46739</v>
      </c>
    </row>
    <row r="262">
      <c r="A262" s="24" t="n">
        <v>253</v>
      </c>
      <c r="B262" s="28" t="inlineStr">
        <is>
          <t>Полюс Магадан</t>
        </is>
      </c>
      <c r="C262" s="24" t="inlineStr">
        <is>
          <t>NTE200</t>
        </is>
      </c>
      <c r="D262" s="24" t="inlineStr">
        <is>
          <t>NHLT0ABAASB100128</t>
        </is>
      </c>
      <c r="E262" s="24" t="inlineStr">
        <is>
          <t>84</t>
        </is>
      </c>
      <c r="F262" s="24" t="inlineStr">
        <is>
          <t>факт</t>
        </is>
      </c>
      <c r="G262" s="26" t="n">
        <v>46013</v>
      </c>
      <c r="H262" s="10">
        <f>IF(G262&lt;$D$5,$D$6,$D$7)</f>
        <v>24</v>
      </c>
      <c r="I262" s="26">
        <f>EDATE(G262,H262)</f>
        <v>46743</v>
      </c>
    </row>
    <row r="263">
      <c r="A263" s="24" t="n">
        <v>254</v>
      </c>
      <c r="B263" s="28" t="inlineStr">
        <is>
          <t>Полюс Магадан</t>
        </is>
      </c>
      <c r="C263" s="24" t="inlineStr">
        <is>
          <t>NTE200</t>
        </is>
      </c>
      <c r="D263" s="24" t="inlineStr">
        <is>
          <t>NHLT0ABALSB100132</t>
        </is>
      </c>
      <c r="E263" s="24" t="inlineStr">
        <is>
          <t>88</t>
        </is>
      </c>
      <c r="F263" s="24" t="inlineStr">
        <is>
          <t>факт</t>
        </is>
      </c>
      <c r="G263" s="26" t="n">
        <v>46018</v>
      </c>
      <c r="H263" s="10">
        <f>IF(G263&lt;$D$5,$D$6,$D$7)</f>
        <v>24</v>
      </c>
      <c r="I263" s="26">
        <f>EDATE(G263,H263)</f>
        <v>46748</v>
      </c>
    </row>
    <row r="264">
      <c r="A264" s="24" t="n">
        <v>255</v>
      </c>
      <c r="B264" s="28" t="inlineStr">
        <is>
          <t>Полюс Магадан</t>
        </is>
      </c>
      <c r="C264" s="24" t="inlineStr">
        <is>
          <t>NTE200</t>
        </is>
      </c>
      <c r="D264" s="24" t="inlineStr"/>
      <c r="E264" s="24" t="inlineStr"/>
      <c r="F264" s="24" t="inlineStr">
        <is>
          <t>план</t>
        </is>
      </c>
      <c r="G264" s="26" t="n">
        <v>46391</v>
      </c>
      <c r="H264" s="10">
        <f>IF(G264&lt;$D$5,$D$6,$D$7)</f>
        <v>24</v>
      </c>
      <c r="I264" s="26">
        <f>EDATE(G264,H264)</f>
        <v>47122</v>
      </c>
    </row>
    <row r="265">
      <c r="A265" s="24" t="n">
        <v>256</v>
      </c>
      <c r="B265" s="28" t="inlineStr">
        <is>
          <t>Полюс Магадан</t>
        </is>
      </c>
      <c r="C265" s="24" t="inlineStr">
        <is>
          <t>NTE200</t>
        </is>
      </c>
      <c r="D265" s="24" t="inlineStr"/>
      <c r="E265" s="24" t="inlineStr"/>
      <c r="F265" s="24" t="inlineStr">
        <is>
          <t>план</t>
        </is>
      </c>
      <c r="G265" s="26" t="n">
        <v>46397</v>
      </c>
      <c r="H265" s="10">
        <f>IF(G265&lt;$D$5,$D$6,$D$7)</f>
        <v>24</v>
      </c>
      <c r="I265" s="26">
        <f>EDATE(G265,H265)</f>
        <v>47128</v>
      </c>
    </row>
    <row r="266">
      <c r="A266" s="24" t="n">
        <v>257</v>
      </c>
      <c r="B266" s="28" t="inlineStr">
        <is>
          <t>Полюс Магадан</t>
        </is>
      </c>
      <c r="C266" s="24" t="inlineStr">
        <is>
          <t>NTE200</t>
        </is>
      </c>
      <c r="D266" s="24" t="inlineStr"/>
      <c r="E266" s="24" t="inlineStr"/>
      <c r="F266" s="24" t="inlineStr">
        <is>
          <t>план</t>
        </is>
      </c>
      <c r="G266" s="26" t="n">
        <v>46402</v>
      </c>
      <c r="H266" s="10">
        <f>IF(G266&lt;$D$5,$D$6,$D$7)</f>
        <v>24</v>
      </c>
      <c r="I266" s="26">
        <f>EDATE(G266,H266)</f>
        <v>47133</v>
      </c>
    </row>
    <row r="267">
      <c r="A267" s="24" t="n">
        <v>258</v>
      </c>
      <c r="B267" s="28" t="inlineStr">
        <is>
          <t>Полюс Магадан</t>
        </is>
      </c>
      <c r="C267" s="24" t="inlineStr">
        <is>
          <t>NTE200</t>
        </is>
      </c>
      <c r="D267" s="24" t="inlineStr"/>
      <c r="E267" s="24" t="inlineStr"/>
      <c r="F267" s="24" t="inlineStr">
        <is>
          <t>план</t>
        </is>
      </c>
      <c r="G267" s="26" t="n">
        <v>46417</v>
      </c>
      <c r="H267" s="10">
        <f>IF(G267&lt;$D$5,$D$6,$D$7)</f>
        <v>24</v>
      </c>
      <c r="I267" s="26">
        <f>EDATE(G267,H267)</f>
        <v>47148</v>
      </c>
    </row>
    <row r="268">
      <c r="A268" s="24" t="n">
        <v>259</v>
      </c>
      <c r="B268" s="28" t="inlineStr">
        <is>
          <t>Полюс Магадан</t>
        </is>
      </c>
      <c r="C268" s="24" t="inlineStr">
        <is>
          <t>NTE200</t>
        </is>
      </c>
      <c r="D268" s="24" t="inlineStr"/>
      <c r="E268" s="24" t="inlineStr"/>
      <c r="F268" s="24" t="inlineStr">
        <is>
          <t>план</t>
        </is>
      </c>
      <c r="G268" s="26" t="n">
        <v>46422</v>
      </c>
      <c r="H268" s="10">
        <f>IF(G268&lt;$D$5,$D$6,$D$7)</f>
        <v>24</v>
      </c>
      <c r="I268" s="26">
        <f>EDATE(G268,H268)</f>
        <v>47153</v>
      </c>
    </row>
    <row r="269">
      <c r="A269" s="24" t="n">
        <v>260</v>
      </c>
      <c r="B269" s="28" t="inlineStr">
        <is>
          <t>Полюс Магадан</t>
        </is>
      </c>
      <c r="C269" s="24" t="inlineStr">
        <is>
          <t>NTE200</t>
        </is>
      </c>
      <c r="D269" s="24" t="inlineStr"/>
      <c r="E269" s="24" t="inlineStr"/>
      <c r="F269" s="24" t="inlineStr">
        <is>
          <t>план</t>
        </is>
      </c>
      <c r="G269" s="26" t="n">
        <v>46433</v>
      </c>
      <c r="H269" s="10">
        <f>IF(G269&lt;$D$5,$D$6,$D$7)</f>
        <v>24</v>
      </c>
      <c r="I269" s="26">
        <f>EDATE(G269,H269)</f>
        <v>47164</v>
      </c>
    </row>
    <row r="270">
      <c r="A270" s="24" t="n">
        <v>261</v>
      </c>
      <c r="B270" s="28" t="inlineStr">
        <is>
          <t>Полюс Магадан</t>
        </is>
      </c>
      <c r="C270" s="24" t="inlineStr">
        <is>
          <t>NTE200</t>
        </is>
      </c>
      <c r="D270" s="24" t="inlineStr"/>
      <c r="E270" s="24" t="inlineStr"/>
      <c r="F270" s="24" t="inlineStr">
        <is>
          <t>план</t>
        </is>
      </c>
      <c r="G270" s="26" t="n">
        <v>46446</v>
      </c>
      <c r="H270" s="10">
        <f>IF(G270&lt;$D$5,$D$6,$D$7)</f>
        <v>24</v>
      </c>
      <c r="I270" s="26">
        <f>EDATE(G270,H270)</f>
        <v>47177</v>
      </c>
    </row>
    <row r="271">
      <c r="A271" s="24" t="n">
        <v>262</v>
      </c>
      <c r="B271" s="28" t="inlineStr">
        <is>
          <t>Полюс Магадан</t>
        </is>
      </c>
      <c r="C271" s="24" t="inlineStr">
        <is>
          <t>NTE200</t>
        </is>
      </c>
      <c r="D271" s="24" t="inlineStr"/>
      <c r="E271" s="24" t="inlineStr"/>
      <c r="F271" s="24" t="inlineStr">
        <is>
          <t>план</t>
        </is>
      </c>
      <c r="G271" s="26" t="n">
        <v>46600</v>
      </c>
      <c r="H271" s="10">
        <f>IF(G271&lt;$D$5,$D$6,$D$7)</f>
        <v>24</v>
      </c>
      <c r="I271" s="26">
        <f>EDATE(G271,H271)</f>
        <v>47331</v>
      </c>
    </row>
    <row r="272">
      <c r="A272" s="29" t="inlineStr">
        <is>
          <t>ИТОГО</t>
        </is>
      </c>
      <c r="B272" s="29" t="inlineStr">
        <is>
          <t>машин всего</t>
        </is>
      </c>
      <c r="C272" s="30" t="n"/>
      <c r="D272" s="30" t="n"/>
      <c r="E272" s="31">
        <f>COUNTA(D10:D271)</f>
        <v>262</v>
      </c>
      <c r="F272" s="30" t="n"/>
      <c r="G272" s="30" t="n"/>
      <c r="H272" s="30" t="n"/>
      <c r="I272" s="30" t="n"/>
    </row>
  </sheetData>
  <mergeCells count="6">
    <mergeCell ref="A2:I2"/>
    <mergeCell ref="A5:C5"/>
    <mergeCell ref="A4:D4"/>
    <mergeCell ref="A6:C6"/>
    <mergeCell ref="A1:I1"/>
    <mergeCell ref="A7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2" customWidth="1" min="13" max="13"/>
    <col width="13" customWidth="1" min="14" max="14"/>
  </cols>
  <sheetData>
    <row r="1" ht="24" customHeight="1">
      <c r="A1" s="1" t="inlineStr">
        <is>
          <t>МОДЕЛЬ РАСЧЁТА ОБОРОТНЫХ ГАРАНТИЙНЫХ КОМПОНЕНТОВ ПО МЕСЯЦАМ (парк по SAP)</t>
        </is>
      </c>
    </row>
    <row r="3">
      <c r="A3" s="19" t="inlineStr">
        <is>
          <t>ПАРАМЕТРЫ НОРМИРОВАНИЯ ОБОРОТНОГО ФОНДА (жёлтые ячейки — редактируемые)</t>
        </is>
      </c>
    </row>
    <row r="4">
      <c r="A4" s="20" t="inlineStr">
        <is>
          <t>Самосвалов на 1 комплект</t>
        </is>
      </c>
      <c r="E4" s="22" t="n">
        <v>10</v>
      </c>
    </row>
    <row r="5">
      <c r="A5" s="20" t="inlineStr">
        <is>
          <t>ДВС на 1 комплект, шт</t>
        </is>
      </c>
      <c r="E5" s="22" t="n">
        <v>1</v>
      </c>
    </row>
    <row r="6">
      <c r="A6" s="20" t="inlineStr">
        <is>
          <t>Мотор-колёс на 1 комплект, шт</t>
        </is>
      </c>
      <c r="E6" s="22" t="n">
        <v>2</v>
      </c>
    </row>
    <row r="7">
      <c r="A7" s="20" t="inlineStr">
        <is>
          <t>Силовой генератор на 1 комплект, шт</t>
        </is>
      </c>
      <c r="E7" s="22" t="n">
        <v>1</v>
      </c>
    </row>
    <row r="9" ht="42" customHeight="1">
      <c r="A9" s="18" t="inlineStr">
        <is>
          <t>Логика: «10 самосвалов на гарантии → 1 ДВС + 2 мотор-колеса + 1 силовой генератор». Комплекты считаются ОТДЕЛЬНО по каждой площадке (склад оборотного фонда локален), округляются ВВЕРХ, затем суммируются. Машина «на гарантии» в месяце, если введена не позже конца месяца и гарантия не истекла до начала месяца. Полный состав парка и даты ввода — из SAP.</t>
        </is>
      </c>
    </row>
    <row r="11" ht="52" customHeight="1">
      <c r="A11" s="23" t="inlineStr">
        <is>
          <t>Месяц</t>
        </is>
      </c>
      <c r="B11" s="23" t="inlineStr">
        <is>
          <t>Год</t>
        </is>
      </c>
      <c r="C11" s="23" t="inlineStr">
        <is>
          <t>Ввод в экспл.
за месяц</t>
        </is>
      </c>
      <c r="D11" s="23" t="inlineStr">
        <is>
          <t>Выход с гарантии
за месяц</t>
        </is>
      </c>
      <c r="E11" s="32" t="inlineStr">
        <is>
          <t>На гарантии
Красноярск
(NTE240)</t>
        </is>
      </c>
      <c r="F11" s="33" t="inlineStr">
        <is>
          <t>На гарантии
Сухой Лог
(NTE240)</t>
        </is>
      </c>
      <c r="G11" s="23" t="inlineStr">
        <is>
          <t>На гарантии
Магадан
(NTE200)</t>
        </is>
      </c>
      <c r="H11" s="34" t="inlineStr">
        <is>
          <t>На гарантии
ВСЕГО</t>
        </is>
      </c>
      <c r="I11" s="32" t="inlineStr">
        <is>
          <t>Компл.
Красноярск</t>
        </is>
      </c>
      <c r="J11" s="33" t="inlineStr">
        <is>
          <t>Компл.
Сухой Лог</t>
        </is>
      </c>
      <c r="K11" s="23" t="inlineStr">
        <is>
          <t>Компл.
Магадан</t>
        </is>
      </c>
      <c r="L11" s="34" t="inlineStr">
        <is>
          <t>ДВС
требуется, шт</t>
        </is>
      </c>
      <c r="M11" s="34" t="inlineStr">
        <is>
          <t>Мотор-колёса
требуется, шт</t>
        </is>
      </c>
      <c r="N11" s="34" t="inlineStr">
        <is>
          <t>Силовой генератор
требуется, шт</t>
        </is>
      </c>
    </row>
    <row r="12">
      <c r="A12" s="35" t="n">
        <v>45323</v>
      </c>
      <c r="B12" s="10">
        <f>YEAR(A12)</f>
        <v>2024</v>
      </c>
      <c r="C12" s="10">
        <f>COUNTIFS('Парк NTE (SAP)'!$G$10:$G$271,"&gt;="&amp;A12,'Парк NTE (SAP)'!$G$10:$G$271,"&lt;="&amp;EOMONTH(A12,0))</f>
        <v>8</v>
      </c>
      <c r="D12" s="10">
        <f>COUNTIFS('Парк NTE (SAP)'!$I$10:$I$271,"&gt;="&amp;A12,'Парк NTE (SAP)'!$I$10:$I$271,"&lt;="&amp;EOMONTH(A12,0))</f>
        <v>0</v>
      </c>
      <c r="E12" s="36">
        <f>SUMPRODUCT(('Парк NTE (SAP)'!$B$10:$B$271="Полюс Красноярск")*('Парк NTE (SAP)'!$G$10:$G$271&lt;=EOMONTH(A12,0))*('Парк NTE (SAP)'!$I$10:$I$271&gt;=A12))</f>
        <v>2</v>
      </c>
      <c r="F12" s="37">
        <f>SUMPRODUCT(('Парк NTE (SAP)'!$B$10:$B$271="Полюс Сухой Лог")*('Парк NTE (SAP)'!$G$10:$G$271&lt;=EOMONTH(A12,0))*('Парк NTE (SAP)'!$I$10:$I$271&gt;=A12))</f>
        <v>0</v>
      </c>
      <c r="G12" s="38">
        <f>SUMPRODUCT(('Парк NTE (SAP)'!$B$10:$B$271="Полюс Магадан")*('Парк NTE (SAP)'!$G$10:$G$271&lt;=EOMONTH(A12,0))*('Парк NTE (SAP)'!$I$10:$I$271&gt;=A12))</f>
        <v>6</v>
      </c>
      <c r="H12" s="39">
        <f>E12+F12+G12</f>
        <v>8</v>
      </c>
      <c r="I12" s="36">
        <f>ROUNDUP(E12/$E$4,0)</f>
        <v>1</v>
      </c>
      <c r="J12" s="37">
        <f>ROUNDUP(F12/$E$4,0)</f>
        <v>0</v>
      </c>
      <c r="K12" s="38">
        <f>ROUNDUP(G12/$E$4,0)</f>
        <v>1</v>
      </c>
      <c r="L12" s="14">
        <f>(I12+J12+K12)*$E$5</f>
        <v>2</v>
      </c>
      <c r="M12" s="14">
        <f>(I12+J12+K12)*$E$6</f>
        <v>4</v>
      </c>
      <c r="N12" s="14">
        <f>(I12+J12+K12)*$E$7</f>
        <v>2</v>
      </c>
    </row>
    <row r="13">
      <c r="A13" s="35" t="n">
        <v>45352</v>
      </c>
      <c r="B13" s="10">
        <f>YEAR(A13)</f>
        <v>2024</v>
      </c>
      <c r="C13" s="10">
        <f>COUNTIFS('Парк NTE (SAP)'!$G$10:$G$271,"&gt;="&amp;A13,'Парк NTE (SAP)'!$G$10:$G$271,"&lt;="&amp;EOMONTH(A13,0))</f>
        <v>10</v>
      </c>
      <c r="D13" s="10">
        <f>COUNTIFS('Парк NTE (SAP)'!$I$10:$I$271,"&gt;="&amp;A13,'Парк NTE (SAP)'!$I$10:$I$271,"&lt;="&amp;EOMONTH(A13,0))</f>
        <v>0</v>
      </c>
      <c r="E13" s="36">
        <f>SUMPRODUCT(('Парк NTE (SAP)'!$B$10:$B$271="Полюс Красноярск")*('Парк NTE (SAP)'!$G$10:$G$271&lt;=EOMONTH(A13,0))*('Парк NTE (SAP)'!$I$10:$I$271&gt;=A13))</f>
        <v>7</v>
      </c>
      <c r="F13" s="37">
        <f>SUMPRODUCT(('Парк NTE (SAP)'!$B$10:$B$271="Полюс Сухой Лог")*('Парк NTE (SAP)'!$G$10:$G$271&lt;=EOMONTH(A13,0))*('Парк NTE (SAP)'!$I$10:$I$271&gt;=A13))</f>
        <v>0</v>
      </c>
      <c r="G13" s="38">
        <f>SUMPRODUCT(('Парк NTE (SAP)'!$B$10:$B$271="Полюс Магадан")*('Парк NTE (SAP)'!$G$10:$G$271&lt;=EOMONTH(A13,0))*('Парк NTE (SAP)'!$I$10:$I$271&gt;=A13))</f>
        <v>11</v>
      </c>
      <c r="H13" s="39">
        <f>E13+F13+G13</f>
        <v>18</v>
      </c>
      <c r="I13" s="36">
        <f>ROUNDUP(E13/$E$4,0)</f>
        <v>1</v>
      </c>
      <c r="J13" s="37">
        <f>ROUNDUP(F13/$E$4,0)</f>
        <v>0</v>
      </c>
      <c r="K13" s="38">
        <f>ROUNDUP(G13/$E$4,0)</f>
        <v>2</v>
      </c>
      <c r="L13" s="14">
        <f>(I13+J13+K13)*$E$5</f>
        <v>3</v>
      </c>
      <c r="M13" s="14">
        <f>(I13+J13+K13)*$E$6</f>
        <v>6</v>
      </c>
      <c r="N13" s="14">
        <f>(I13+J13+K13)*$E$7</f>
        <v>3</v>
      </c>
    </row>
    <row r="14">
      <c r="A14" s="35" t="n">
        <v>45383</v>
      </c>
      <c r="B14" s="10">
        <f>YEAR(A14)</f>
        <v>2024</v>
      </c>
      <c r="C14" s="10">
        <f>COUNTIFS('Парк NTE (SAP)'!$G$10:$G$271,"&gt;="&amp;A14,'Парк NTE (SAP)'!$G$10:$G$271,"&lt;="&amp;EOMONTH(A14,0))</f>
        <v>10</v>
      </c>
      <c r="D14" s="10">
        <f>COUNTIFS('Парк NTE (SAP)'!$I$10:$I$271,"&gt;="&amp;A14,'Парк NTE (SAP)'!$I$10:$I$271,"&lt;="&amp;EOMONTH(A14,0))</f>
        <v>0</v>
      </c>
      <c r="E14" s="36">
        <f>SUMPRODUCT(('Парк NTE (SAP)'!$B$10:$B$271="Полюс Красноярск")*('Парк NTE (SAP)'!$G$10:$G$271&lt;=EOMONTH(A14,0))*('Парк NTE (SAP)'!$I$10:$I$271&gt;=A14))</f>
        <v>12</v>
      </c>
      <c r="F14" s="37">
        <f>SUMPRODUCT(('Парк NTE (SAP)'!$B$10:$B$271="Полюс Сухой Лог")*('Парк NTE (SAP)'!$G$10:$G$271&lt;=EOMONTH(A14,0))*('Парк NTE (SAP)'!$I$10:$I$271&gt;=A14))</f>
        <v>0</v>
      </c>
      <c r="G14" s="38">
        <f>SUMPRODUCT(('Парк NTE (SAP)'!$B$10:$B$271="Полюс Магадан")*('Парк NTE (SAP)'!$G$10:$G$271&lt;=EOMONTH(A14,0))*('Парк NTE (SAP)'!$I$10:$I$271&gt;=A14))</f>
        <v>16</v>
      </c>
      <c r="H14" s="39">
        <f>E14+F14+G14</f>
        <v>28</v>
      </c>
      <c r="I14" s="36">
        <f>ROUNDUP(E14/$E$4,0)</f>
        <v>2</v>
      </c>
      <c r="J14" s="37">
        <f>ROUNDUP(F14/$E$4,0)</f>
        <v>0</v>
      </c>
      <c r="K14" s="38">
        <f>ROUNDUP(G14/$E$4,0)</f>
        <v>2</v>
      </c>
      <c r="L14" s="14">
        <f>(I14+J14+K14)*$E$5</f>
        <v>4</v>
      </c>
      <c r="M14" s="14">
        <f>(I14+J14+K14)*$E$6</f>
        <v>8</v>
      </c>
      <c r="N14" s="14">
        <f>(I14+J14+K14)*$E$7</f>
        <v>4</v>
      </c>
    </row>
    <row r="15">
      <c r="A15" s="35" t="n">
        <v>45413</v>
      </c>
      <c r="B15" s="10">
        <f>YEAR(A15)</f>
        <v>2024</v>
      </c>
      <c r="C15" s="10">
        <f>COUNTIFS('Парк NTE (SAP)'!$G$10:$G$271,"&gt;="&amp;A15,'Парк NTE (SAP)'!$G$10:$G$271,"&lt;="&amp;EOMONTH(A15,0))</f>
        <v>9</v>
      </c>
      <c r="D15" s="10">
        <f>COUNTIFS('Парк NTE (SAP)'!$I$10:$I$271,"&gt;="&amp;A15,'Парк NTE (SAP)'!$I$10:$I$271,"&lt;="&amp;EOMONTH(A15,0))</f>
        <v>0</v>
      </c>
      <c r="E15" s="36">
        <f>SUMPRODUCT(('Парк NTE (SAP)'!$B$10:$B$271="Полюс Красноярск")*('Парк NTE (SAP)'!$G$10:$G$271&lt;=EOMONTH(A15,0))*('Парк NTE (SAP)'!$I$10:$I$271&gt;=A15))</f>
        <v>17</v>
      </c>
      <c r="F15" s="37">
        <f>SUMPRODUCT(('Парк NTE (SAP)'!$B$10:$B$271="Полюс Сухой Лог")*('Парк NTE (SAP)'!$G$10:$G$271&lt;=EOMONTH(A15,0))*('Парк NTE (SAP)'!$I$10:$I$271&gt;=A15))</f>
        <v>0</v>
      </c>
      <c r="G15" s="38">
        <f>SUMPRODUCT(('Парк NTE (SAP)'!$B$10:$B$271="Полюс Магадан")*('Парк NTE (SAP)'!$G$10:$G$271&lt;=EOMONTH(A15,0))*('Парк NTE (SAP)'!$I$10:$I$271&gt;=A15))</f>
        <v>20</v>
      </c>
      <c r="H15" s="39">
        <f>E15+F15+G15</f>
        <v>37</v>
      </c>
      <c r="I15" s="36">
        <f>ROUNDUP(E15/$E$4,0)</f>
        <v>2</v>
      </c>
      <c r="J15" s="37">
        <f>ROUNDUP(F15/$E$4,0)</f>
        <v>0</v>
      </c>
      <c r="K15" s="38">
        <f>ROUNDUP(G15/$E$4,0)</f>
        <v>2</v>
      </c>
      <c r="L15" s="14">
        <f>(I15+J15+K15)*$E$5</f>
        <v>4</v>
      </c>
      <c r="M15" s="14">
        <f>(I15+J15+K15)*$E$6</f>
        <v>8</v>
      </c>
      <c r="N15" s="14">
        <f>(I15+J15+K15)*$E$7</f>
        <v>4</v>
      </c>
    </row>
    <row r="16">
      <c r="A16" s="35" t="n">
        <v>45444</v>
      </c>
      <c r="B16" s="10">
        <f>YEAR(A16)</f>
        <v>2024</v>
      </c>
      <c r="C16" s="10">
        <f>COUNTIFS('Парк NTE (SAP)'!$G$10:$G$271,"&gt;="&amp;A16,'Парк NTE (SAP)'!$G$10:$G$271,"&lt;="&amp;EOMONTH(A16,0))</f>
        <v>5</v>
      </c>
      <c r="D16" s="10">
        <f>COUNTIFS('Парк NTE (SAP)'!$I$10:$I$271,"&gt;="&amp;A16,'Парк NTE (SAP)'!$I$10:$I$271,"&lt;="&amp;EOMONTH(A16,0))</f>
        <v>0</v>
      </c>
      <c r="E16" s="36">
        <f>SUMPRODUCT(('Парк NTE (SAP)'!$B$10:$B$271="Полюс Красноярск")*('Парк NTE (SAP)'!$G$10:$G$271&lt;=EOMONTH(A16,0))*('Парк NTE (SAP)'!$I$10:$I$271&gt;=A16))</f>
        <v>22</v>
      </c>
      <c r="F16" s="37">
        <f>SUMPRODUCT(('Парк NTE (SAP)'!$B$10:$B$271="Полюс Сухой Лог")*('Парк NTE (SAP)'!$G$10:$G$271&lt;=EOMONTH(A16,0))*('Парк NTE (SAP)'!$I$10:$I$271&gt;=A16))</f>
        <v>0</v>
      </c>
      <c r="G16" s="38">
        <f>SUMPRODUCT(('Парк NTE (SAP)'!$B$10:$B$271="Полюс Магадан")*('Парк NTE (SAP)'!$G$10:$G$271&lt;=EOMONTH(A16,0))*('Парк NTE (SAP)'!$I$10:$I$271&gt;=A16))</f>
        <v>20</v>
      </c>
      <c r="H16" s="39">
        <f>E16+F16+G16</f>
        <v>42</v>
      </c>
      <c r="I16" s="36">
        <f>ROUNDUP(E16/$E$4,0)</f>
        <v>3</v>
      </c>
      <c r="J16" s="37">
        <f>ROUNDUP(F16/$E$4,0)</f>
        <v>0</v>
      </c>
      <c r="K16" s="38">
        <f>ROUNDUP(G16/$E$4,0)</f>
        <v>2</v>
      </c>
      <c r="L16" s="14">
        <f>(I16+J16+K16)*$E$5</f>
        <v>5</v>
      </c>
      <c r="M16" s="14">
        <f>(I16+J16+K16)*$E$6</f>
        <v>10</v>
      </c>
      <c r="N16" s="14">
        <f>(I16+J16+K16)*$E$7</f>
        <v>5</v>
      </c>
    </row>
    <row r="17">
      <c r="A17" s="35" t="n">
        <v>45474</v>
      </c>
      <c r="B17" s="10">
        <f>YEAR(A17)</f>
        <v>2024</v>
      </c>
      <c r="C17" s="10">
        <f>COUNTIFS('Парк NTE (SAP)'!$G$10:$G$271,"&gt;="&amp;A17,'Парк NTE (SAP)'!$G$10:$G$271,"&lt;="&amp;EOMONTH(A17,0))</f>
        <v>2</v>
      </c>
      <c r="D17" s="10">
        <f>COUNTIFS('Парк NTE (SAP)'!$I$10:$I$271,"&gt;="&amp;A17,'Парк NTE (SAP)'!$I$10:$I$271,"&lt;="&amp;EOMONTH(A17,0))</f>
        <v>0</v>
      </c>
      <c r="E17" s="36">
        <f>SUMPRODUCT(('Парк NTE (SAP)'!$B$10:$B$271="Полюс Красноярск")*('Парк NTE (SAP)'!$G$10:$G$271&lt;=EOMONTH(A17,0))*('Парк NTE (SAP)'!$I$10:$I$271&gt;=A17))</f>
        <v>24</v>
      </c>
      <c r="F17" s="37">
        <f>SUMPRODUCT(('Парк NTE (SAP)'!$B$10:$B$271="Полюс Сухой Лог")*('Парк NTE (SAP)'!$G$10:$G$271&lt;=EOMONTH(A17,0))*('Парк NTE (SAP)'!$I$10:$I$271&gt;=A17))</f>
        <v>0</v>
      </c>
      <c r="G17" s="38">
        <f>SUMPRODUCT(('Парк NTE (SAP)'!$B$10:$B$271="Полюс Магадан")*('Парк NTE (SAP)'!$G$10:$G$271&lt;=EOMONTH(A17,0))*('Парк NTE (SAP)'!$I$10:$I$271&gt;=A17))</f>
        <v>20</v>
      </c>
      <c r="H17" s="39">
        <f>E17+F17+G17</f>
        <v>44</v>
      </c>
      <c r="I17" s="36">
        <f>ROUNDUP(E17/$E$4,0)</f>
        <v>3</v>
      </c>
      <c r="J17" s="37">
        <f>ROUNDUP(F17/$E$4,0)</f>
        <v>0</v>
      </c>
      <c r="K17" s="38">
        <f>ROUNDUP(G17/$E$4,0)</f>
        <v>2</v>
      </c>
      <c r="L17" s="14">
        <f>(I17+J17+K17)*$E$5</f>
        <v>5</v>
      </c>
      <c r="M17" s="14">
        <f>(I17+J17+K17)*$E$6</f>
        <v>10</v>
      </c>
      <c r="N17" s="14">
        <f>(I17+J17+K17)*$E$7</f>
        <v>5</v>
      </c>
    </row>
    <row r="18">
      <c r="A18" s="35" t="n">
        <v>45505</v>
      </c>
      <c r="B18" s="10">
        <f>YEAR(A18)</f>
        <v>2024</v>
      </c>
      <c r="C18" s="10">
        <f>COUNTIFS('Парк NTE (SAP)'!$G$10:$G$271,"&gt;="&amp;A18,'Парк NTE (SAP)'!$G$10:$G$271,"&lt;="&amp;EOMONTH(A18,0))</f>
        <v>2</v>
      </c>
      <c r="D18" s="10">
        <f>COUNTIFS('Парк NTE (SAP)'!$I$10:$I$271,"&gt;="&amp;A18,'Парк NTE (SAP)'!$I$10:$I$271,"&lt;="&amp;EOMONTH(A18,0))</f>
        <v>0</v>
      </c>
      <c r="E18" s="36">
        <f>SUMPRODUCT(('Парк NTE (SAP)'!$B$10:$B$271="Полюс Красноярск")*('Парк NTE (SAP)'!$G$10:$G$271&lt;=EOMONTH(A18,0))*('Парк NTE (SAP)'!$I$10:$I$271&gt;=A18))</f>
        <v>26</v>
      </c>
      <c r="F18" s="37">
        <f>SUMPRODUCT(('Парк NTE (SAP)'!$B$10:$B$271="Полюс Сухой Лог")*('Парк NTE (SAP)'!$G$10:$G$271&lt;=EOMONTH(A18,0))*('Парк NTE (SAP)'!$I$10:$I$271&gt;=A18))</f>
        <v>0</v>
      </c>
      <c r="G18" s="38">
        <f>SUMPRODUCT(('Парк NTE (SAP)'!$B$10:$B$271="Полюс Магадан")*('Парк NTE (SAP)'!$G$10:$G$271&lt;=EOMONTH(A18,0))*('Парк NTE (SAP)'!$I$10:$I$271&gt;=A18))</f>
        <v>20</v>
      </c>
      <c r="H18" s="39">
        <f>E18+F18+G18</f>
        <v>46</v>
      </c>
      <c r="I18" s="36">
        <f>ROUNDUP(E18/$E$4,0)</f>
        <v>3</v>
      </c>
      <c r="J18" s="37">
        <f>ROUNDUP(F18/$E$4,0)</f>
        <v>0</v>
      </c>
      <c r="K18" s="38">
        <f>ROUNDUP(G18/$E$4,0)</f>
        <v>2</v>
      </c>
      <c r="L18" s="14">
        <f>(I18+J18+K18)*$E$5</f>
        <v>5</v>
      </c>
      <c r="M18" s="14">
        <f>(I18+J18+K18)*$E$6</f>
        <v>10</v>
      </c>
      <c r="N18" s="14">
        <f>(I18+J18+K18)*$E$7</f>
        <v>5</v>
      </c>
    </row>
    <row r="19">
      <c r="A19" s="35" t="n">
        <v>45536</v>
      </c>
      <c r="B19" s="10">
        <f>YEAR(A19)</f>
        <v>2024</v>
      </c>
      <c r="C19" s="10">
        <f>COUNTIFS('Парк NTE (SAP)'!$G$10:$G$271,"&gt;="&amp;A19,'Парк NTE (SAP)'!$G$10:$G$271,"&lt;="&amp;EOMONTH(A19,0))</f>
        <v>4</v>
      </c>
      <c r="D19" s="10">
        <f>COUNTIFS('Парк NTE (SAP)'!$I$10:$I$271,"&gt;="&amp;A19,'Парк NTE (SAP)'!$I$10:$I$271,"&lt;="&amp;EOMONTH(A19,0))</f>
        <v>0</v>
      </c>
      <c r="E19" s="36">
        <f>SUMPRODUCT(('Парк NTE (SAP)'!$B$10:$B$271="Полюс Красноярск")*('Парк NTE (SAP)'!$G$10:$G$271&lt;=EOMONTH(A19,0))*('Парк NTE (SAP)'!$I$10:$I$271&gt;=A19))</f>
        <v>30</v>
      </c>
      <c r="F19" s="37">
        <f>SUMPRODUCT(('Парк NTE (SAP)'!$B$10:$B$271="Полюс Сухой Лог")*('Парк NTE (SAP)'!$G$10:$G$271&lt;=EOMONTH(A19,0))*('Парк NTE (SAP)'!$I$10:$I$271&gt;=A19))</f>
        <v>0</v>
      </c>
      <c r="G19" s="38">
        <f>SUMPRODUCT(('Парк NTE (SAP)'!$B$10:$B$271="Полюс Магадан")*('Парк NTE (SAP)'!$G$10:$G$271&lt;=EOMONTH(A19,0))*('Парк NTE (SAP)'!$I$10:$I$271&gt;=A19))</f>
        <v>20</v>
      </c>
      <c r="H19" s="39">
        <f>E19+F19+G19</f>
        <v>50</v>
      </c>
      <c r="I19" s="36">
        <f>ROUNDUP(E19/$E$4,0)</f>
        <v>3</v>
      </c>
      <c r="J19" s="37">
        <f>ROUNDUP(F19/$E$4,0)</f>
        <v>0</v>
      </c>
      <c r="K19" s="38">
        <f>ROUNDUP(G19/$E$4,0)</f>
        <v>2</v>
      </c>
      <c r="L19" s="14">
        <f>(I19+J19+K19)*$E$5</f>
        <v>5</v>
      </c>
      <c r="M19" s="14">
        <f>(I19+J19+K19)*$E$6</f>
        <v>10</v>
      </c>
      <c r="N19" s="14">
        <f>(I19+J19+K19)*$E$7</f>
        <v>5</v>
      </c>
    </row>
    <row r="20">
      <c r="A20" s="35" t="n">
        <v>45566</v>
      </c>
      <c r="B20" s="10">
        <f>YEAR(A20)</f>
        <v>2024</v>
      </c>
      <c r="C20" s="10">
        <f>COUNTIFS('Парк NTE (SAP)'!$G$10:$G$271,"&gt;="&amp;A20,'Парк NTE (SAP)'!$G$10:$G$271,"&lt;="&amp;EOMONTH(A20,0))</f>
        <v>2</v>
      </c>
      <c r="D20" s="10">
        <f>COUNTIFS('Парк NTE (SAP)'!$I$10:$I$271,"&gt;="&amp;A20,'Парк NTE (SAP)'!$I$10:$I$271,"&lt;="&amp;EOMONTH(A20,0))</f>
        <v>0</v>
      </c>
      <c r="E20" s="36">
        <f>SUMPRODUCT(('Парк NTE (SAP)'!$B$10:$B$271="Полюс Красноярск")*('Парк NTE (SAP)'!$G$10:$G$271&lt;=EOMONTH(A20,0))*('Парк NTE (SAP)'!$I$10:$I$271&gt;=A20))</f>
        <v>32</v>
      </c>
      <c r="F20" s="37">
        <f>SUMPRODUCT(('Парк NTE (SAP)'!$B$10:$B$271="Полюс Сухой Лог")*('Парк NTE (SAP)'!$G$10:$G$271&lt;=EOMONTH(A20,0))*('Парк NTE (SAP)'!$I$10:$I$271&gt;=A20))</f>
        <v>0</v>
      </c>
      <c r="G20" s="38">
        <f>SUMPRODUCT(('Парк NTE (SAP)'!$B$10:$B$271="Полюс Магадан")*('Парк NTE (SAP)'!$G$10:$G$271&lt;=EOMONTH(A20,0))*('Парк NTE (SAP)'!$I$10:$I$271&gt;=A20))</f>
        <v>20</v>
      </c>
      <c r="H20" s="39">
        <f>E20+F20+G20</f>
        <v>52</v>
      </c>
      <c r="I20" s="36">
        <f>ROUNDUP(E20/$E$4,0)</f>
        <v>4</v>
      </c>
      <c r="J20" s="37">
        <f>ROUNDUP(F20/$E$4,0)</f>
        <v>0</v>
      </c>
      <c r="K20" s="38">
        <f>ROUNDUP(G20/$E$4,0)</f>
        <v>2</v>
      </c>
      <c r="L20" s="14">
        <f>(I20+J20+K20)*$E$5</f>
        <v>6</v>
      </c>
      <c r="M20" s="14">
        <f>(I20+J20+K20)*$E$6</f>
        <v>12</v>
      </c>
      <c r="N20" s="14">
        <f>(I20+J20+K20)*$E$7</f>
        <v>6</v>
      </c>
    </row>
    <row r="21">
      <c r="A21" s="35" t="n">
        <v>45597</v>
      </c>
      <c r="B21" s="10">
        <f>YEAR(A21)</f>
        <v>2024</v>
      </c>
      <c r="C21" s="10">
        <f>COUNTIFS('Парк NTE (SAP)'!$G$10:$G$271,"&gt;="&amp;A21,'Парк NTE (SAP)'!$G$10:$G$271,"&lt;="&amp;EOMONTH(A21,0))</f>
        <v>0</v>
      </c>
      <c r="D21" s="10">
        <f>COUNTIFS('Парк NTE (SAP)'!$I$10:$I$271,"&gt;="&amp;A21,'Парк NTE (SAP)'!$I$10:$I$271,"&lt;="&amp;EOMONTH(A21,0))</f>
        <v>0</v>
      </c>
      <c r="E21" s="36">
        <f>SUMPRODUCT(('Парк NTE (SAP)'!$B$10:$B$271="Полюс Красноярск")*('Парк NTE (SAP)'!$G$10:$G$271&lt;=EOMONTH(A21,0))*('Парк NTE (SAP)'!$I$10:$I$271&gt;=A21))</f>
        <v>32</v>
      </c>
      <c r="F21" s="37">
        <f>SUMPRODUCT(('Парк NTE (SAP)'!$B$10:$B$271="Полюс Сухой Лог")*('Парк NTE (SAP)'!$G$10:$G$271&lt;=EOMONTH(A21,0))*('Парк NTE (SAP)'!$I$10:$I$271&gt;=A21))</f>
        <v>0</v>
      </c>
      <c r="G21" s="38">
        <f>SUMPRODUCT(('Парк NTE (SAP)'!$B$10:$B$271="Полюс Магадан")*('Парк NTE (SAP)'!$G$10:$G$271&lt;=EOMONTH(A21,0))*('Парк NTE (SAP)'!$I$10:$I$271&gt;=A21))</f>
        <v>20</v>
      </c>
      <c r="H21" s="39">
        <f>E21+F21+G21</f>
        <v>52</v>
      </c>
      <c r="I21" s="36">
        <f>ROUNDUP(E21/$E$4,0)</f>
        <v>4</v>
      </c>
      <c r="J21" s="37">
        <f>ROUNDUP(F21/$E$4,0)</f>
        <v>0</v>
      </c>
      <c r="K21" s="38">
        <f>ROUNDUP(G21/$E$4,0)</f>
        <v>2</v>
      </c>
      <c r="L21" s="14">
        <f>(I21+J21+K21)*$E$5</f>
        <v>6</v>
      </c>
      <c r="M21" s="14">
        <f>(I21+J21+K21)*$E$6</f>
        <v>12</v>
      </c>
      <c r="N21" s="14">
        <f>(I21+J21+K21)*$E$7</f>
        <v>6</v>
      </c>
    </row>
    <row r="22">
      <c r="A22" s="35" t="n">
        <v>45627</v>
      </c>
      <c r="B22" s="10">
        <f>YEAR(A22)</f>
        <v>2024</v>
      </c>
      <c r="C22" s="10">
        <f>COUNTIFS('Парк NTE (SAP)'!$G$10:$G$271,"&gt;="&amp;A22,'Парк NTE (SAP)'!$G$10:$G$271,"&lt;="&amp;EOMONTH(A22,0))</f>
        <v>6</v>
      </c>
      <c r="D22" s="10">
        <f>COUNTIFS('Парк NTE (SAP)'!$I$10:$I$271,"&gt;="&amp;A22,'Парк NTE (SAP)'!$I$10:$I$271,"&lt;="&amp;EOMONTH(A22,0))</f>
        <v>0</v>
      </c>
      <c r="E22" s="36">
        <f>SUMPRODUCT(('Парк NTE (SAP)'!$B$10:$B$271="Полюс Красноярск")*('Парк NTE (SAP)'!$G$10:$G$271&lt;=EOMONTH(A22,0))*('Парк NTE (SAP)'!$I$10:$I$271&gt;=A22))</f>
        <v>36</v>
      </c>
      <c r="F22" s="37">
        <f>SUMPRODUCT(('Парк NTE (SAP)'!$B$10:$B$271="Полюс Сухой Лог")*('Парк NTE (SAP)'!$G$10:$G$271&lt;=EOMONTH(A22,0))*('Парк NTE (SAP)'!$I$10:$I$271&gt;=A22))</f>
        <v>0</v>
      </c>
      <c r="G22" s="38">
        <f>SUMPRODUCT(('Парк NTE (SAP)'!$B$10:$B$271="Полюс Магадан")*('Парк NTE (SAP)'!$G$10:$G$271&lt;=EOMONTH(A22,0))*('Парк NTE (SAP)'!$I$10:$I$271&gt;=A22))</f>
        <v>22</v>
      </c>
      <c r="H22" s="39">
        <f>E22+F22+G22</f>
        <v>58</v>
      </c>
      <c r="I22" s="36">
        <f>ROUNDUP(E22/$E$4,0)</f>
        <v>4</v>
      </c>
      <c r="J22" s="37">
        <f>ROUNDUP(F22/$E$4,0)</f>
        <v>0</v>
      </c>
      <c r="K22" s="38">
        <f>ROUNDUP(G22/$E$4,0)</f>
        <v>3</v>
      </c>
      <c r="L22" s="14">
        <f>(I22+J22+K22)*$E$5</f>
        <v>7</v>
      </c>
      <c r="M22" s="14">
        <f>(I22+J22+K22)*$E$6</f>
        <v>14</v>
      </c>
      <c r="N22" s="14">
        <f>(I22+J22+K22)*$E$7</f>
        <v>7</v>
      </c>
    </row>
    <row r="23">
      <c r="A23" s="35" t="n">
        <v>45658</v>
      </c>
      <c r="B23" s="10">
        <f>YEAR(A23)</f>
        <v>2025</v>
      </c>
      <c r="C23" s="10">
        <f>COUNTIFS('Парк NTE (SAP)'!$G$10:$G$271,"&gt;="&amp;A23,'Парк NTE (SAP)'!$G$10:$G$271,"&lt;="&amp;EOMONTH(A23,0))</f>
        <v>10</v>
      </c>
      <c r="D23" s="10">
        <f>COUNTIFS('Парк NTE (SAP)'!$I$10:$I$271,"&gt;="&amp;A23,'Парк NTE (SAP)'!$I$10:$I$271,"&lt;="&amp;EOMONTH(A23,0))</f>
        <v>0</v>
      </c>
      <c r="E23" s="36">
        <f>SUMPRODUCT(('Парк NTE (SAP)'!$B$10:$B$271="Полюс Красноярск")*('Парк NTE (SAP)'!$G$10:$G$271&lt;=EOMONTH(A23,0))*('Парк NTE (SAP)'!$I$10:$I$271&gt;=A23))</f>
        <v>40</v>
      </c>
      <c r="F23" s="37">
        <f>SUMPRODUCT(('Парк NTE (SAP)'!$B$10:$B$271="Полюс Сухой Лог")*('Парк NTE (SAP)'!$G$10:$G$271&lt;=EOMONTH(A23,0))*('Парк NTE (SAP)'!$I$10:$I$271&gt;=A23))</f>
        <v>0</v>
      </c>
      <c r="G23" s="38">
        <f>SUMPRODUCT(('Парк NTE (SAP)'!$B$10:$B$271="Полюс Магадан")*('Парк NTE (SAP)'!$G$10:$G$271&lt;=EOMONTH(A23,0))*('Парк NTE (SAP)'!$I$10:$I$271&gt;=A23))</f>
        <v>28</v>
      </c>
      <c r="H23" s="39">
        <f>E23+F23+G23</f>
        <v>68</v>
      </c>
      <c r="I23" s="36">
        <f>ROUNDUP(E23/$E$4,0)</f>
        <v>4</v>
      </c>
      <c r="J23" s="37">
        <f>ROUNDUP(F23/$E$4,0)</f>
        <v>0</v>
      </c>
      <c r="K23" s="38">
        <f>ROUNDUP(G23/$E$4,0)</f>
        <v>3</v>
      </c>
      <c r="L23" s="14">
        <f>(I23+J23+K23)*$E$5</f>
        <v>7</v>
      </c>
      <c r="M23" s="14">
        <f>(I23+J23+K23)*$E$6</f>
        <v>14</v>
      </c>
      <c r="N23" s="14">
        <f>(I23+J23+K23)*$E$7</f>
        <v>7</v>
      </c>
    </row>
    <row r="24">
      <c r="A24" s="35" t="n">
        <v>45689</v>
      </c>
      <c r="B24" s="10">
        <f>YEAR(A24)</f>
        <v>2025</v>
      </c>
      <c r="C24" s="10">
        <f>COUNTIFS('Парк NTE (SAP)'!$G$10:$G$271,"&gt;="&amp;A24,'Парк NTE (SAP)'!$G$10:$G$271,"&lt;="&amp;EOMONTH(A24,0))</f>
        <v>9</v>
      </c>
      <c r="D24" s="10">
        <f>COUNTIFS('Парк NTE (SAP)'!$I$10:$I$271,"&gt;="&amp;A24,'Парк NTE (SAP)'!$I$10:$I$271,"&lt;="&amp;EOMONTH(A24,0))</f>
        <v>8</v>
      </c>
      <c r="E24" s="36">
        <f>SUMPRODUCT(('Парк NTE (SAP)'!$B$10:$B$271="Полюс Красноярск")*('Парк NTE (SAP)'!$G$10:$G$271&lt;=EOMONTH(A24,0))*('Парк NTE (SAP)'!$I$10:$I$271&gt;=A24))</f>
        <v>43</v>
      </c>
      <c r="F24" s="37">
        <f>SUMPRODUCT(('Парк NTE (SAP)'!$B$10:$B$271="Полюс Сухой Лог")*('Парк NTE (SAP)'!$G$10:$G$271&lt;=EOMONTH(A24,0))*('Парк NTE (SAP)'!$I$10:$I$271&gt;=A24))</f>
        <v>0</v>
      </c>
      <c r="G24" s="38">
        <f>SUMPRODUCT(('Парк NTE (SAP)'!$B$10:$B$271="Полюс Магадан")*('Парк NTE (SAP)'!$G$10:$G$271&lt;=EOMONTH(A24,0))*('Парк NTE (SAP)'!$I$10:$I$271&gt;=A24))</f>
        <v>34</v>
      </c>
      <c r="H24" s="39">
        <f>E24+F24+G24</f>
        <v>77</v>
      </c>
      <c r="I24" s="36">
        <f>ROUNDUP(E24/$E$4,0)</f>
        <v>5</v>
      </c>
      <c r="J24" s="37">
        <f>ROUNDUP(F24/$E$4,0)</f>
        <v>0</v>
      </c>
      <c r="K24" s="38">
        <f>ROUNDUP(G24/$E$4,0)</f>
        <v>4</v>
      </c>
      <c r="L24" s="14">
        <f>(I24+J24+K24)*$E$5</f>
        <v>9</v>
      </c>
      <c r="M24" s="14">
        <f>(I24+J24+K24)*$E$6</f>
        <v>18</v>
      </c>
      <c r="N24" s="14">
        <f>(I24+J24+K24)*$E$7</f>
        <v>9</v>
      </c>
    </row>
    <row r="25">
      <c r="A25" s="35" t="n">
        <v>45717</v>
      </c>
      <c r="B25" s="10">
        <f>YEAR(A25)</f>
        <v>2025</v>
      </c>
      <c r="C25" s="10">
        <f>COUNTIFS('Парк NTE (SAP)'!$G$10:$G$271,"&gt;="&amp;A25,'Парк NTE (SAP)'!$G$10:$G$271,"&lt;="&amp;EOMONTH(A25,0))</f>
        <v>6</v>
      </c>
      <c r="D25" s="10">
        <f>COUNTIFS('Парк NTE (SAP)'!$I$10:$I$271,"&gt;="&amp;A25,'Парк NTE (SAP)'!$I$10:$I$271,"&lt;="&amp;EOMONTH(A25,0))</f>
        <v>10</v>
      </c>
      <c r="E25" s="36">
        <f>SUMPRODUCT(('Парк NTE (SAP)'!$B$10:$B$271="Полюс Красноярск")*('Парк NTE (SAP)'!$G$10:$G$271&lt;=EOMONTH(A25,0))*('Парк NTE (SAP)'!$I$10:$I$271&gt;=A25))</f>
        <v>45</v>
      </c>
      <c r="F25" s="37">
        <f>SUMPRODUCT(('Парк NTE (SAP)'!$B$10:$B$271="Полюс Сухой Лог")*('Парк NTE (SAP)'!$G$10:$G$271&lt;=EOMONTH(A25,0))*('Парк NTE (SAP)'!$I$10:$I$271&gt;=A25))</f>
        <v>0</v>
      </c>
      <c r="G25" s="38">
        <f>SUMPRODUCT(('Парк NTE (SAP)'!$B$10:$B$271="Полюс Магадан")*('Парк NTE (SAP)'!$G$10:$G$271&lt;=EOMONTH(A25,0))*('Парк NTE (SAP)'!$I$10:$I$271&gt;=A25))</f>
        <v>30</v>
      </c>
      <c r="H25" s="39">
        <f>E25+F25+G25</f>
        <v>75</v>
      </c>
      <c r="I25" s="36">
        <f>ROUNDUP(E25/$E$4,0)</f>
        <v>5</v>
      </c>
      <c r="J25" s="37">
        <f>ROUNDUP(F25/$E$4,0)</f>
        <v>0</v>
      </c>
      <c r="K25" s="38">
        <f>ROUNDUP(G25/$E$4,0)</f>
        <v>3</v>
      </c>
      <c r="L25" s="14">
        <f>(I25+J25+K25)*$E$5</f>
        <v>8</v>
      </c>
      <c r="M25" s="14">
        <f>(I25+J25+K25)*$E$6</f>
        <v>16</v>
      </c>
      <c r="N25" s="14">
        <f>(I25+J25+K25)*$E$7</f>
        <v>8</v>
      </c>
    </row>
    <row r="26">
      <c r="A26" s="35" t="n">
        <v>45748</v>
      </c>
      <c r="B26" s="10">
        <f>YEAR(A26)</f>
        <v>2025</v>
      </c>
      <c r="C26" s="10">
        <f>COUNTIFS('Парк NTE (SAP)'!$G$10:$G$271,"&gt;="&amp;A26,'Парк NTE (SAP)'!$G$10:$G$271,"&lt;="&amp;EOMONTH(A26,0))</f>
        <v>2</v>
      </c>
      <c r="D26" s="10">
        <f>COUNTIFS('Парк NTE (SAP)'!$I$10:$I$271,"&gt;="&amp;A26,'Парк NTE (SAP)'!$I$10:$I$271,"&lt;="&amp;EOMONTH(A26,0))</f>
        <v>10</v>
      </c>
      <c r="E26" s="36">
        <f>SUMPRODUCT(('Парк NTE (SAP)'!$B$10:$B$271="Полюс Красноярск")*('Парк NTE (SAP)'!$G$10:$G$271&lt;=EOMONTH(A26,0))*('Парк NTE (SAP)'!$I$10:$I$271&gt;=A26))</f>
        <v>42</v>
      </c>
      <c r="F26" s="37">
        <f>SUMPRODUCT(('Парк NTE (SAP)'!$B$10:$B$271="Полюс Сухой Лог")*('Парк NTE (SAP)'!$G$10:$G$271&lt;=EOMONTH(A26,0))*('Парк NTE (SAP)'!$I$10:$I$271&gt;=A26))</f>
        <v>0</v>
      </c>
      <c r="G26" s="38">
        <f>SUMPRODUCT(('Парк NTE (SAP)'!$B$10:$B$271="Полюс Магадан")*('Парк NTE (SAP)'!$G$10:$G$271&lt;=EOMONTH(A26,0))*('Парк NTE (SAP)'!$I$10:$I$271&gt;=A26))</f>
        <v>25</v>
      </c>
      <c r="H26" s="39">
        <f>E26+F26+G26</f>
        <v>67</v>
      </c>
      <c r="I26" s="36">
        <f>ROUNDUP(E26/$E$4,0)</f>
        <v>5</v>
      </c>
      <c r="J26" s="37">
        <f>ROUNDUP(F26/$E$4,0)</f>
        <v>0</v>
      </c>
      <c r="K26" s="38">
        <f>ROUNDUP(G26/$E$4,0)</f>
        <v>3</v>
      </c>
      <c r="L26" s="14">
        <f>(I26+J26+K26)*$E$5</f>
        <v>8</v>
      </c>
      <c r="M26" s="14">
        <f>(I26+J26+K26)*$E$6</f>
        <v>16</v>
      </c>
      <c r="N26" s="14">
        <f>(I26+J26+K26)*$E$7</f>
        <v>8</v>
      </c>
    </row>
    <row r="27">
      <c r="A27" s="35" t="n">
        <v>45778</v>
      </c>
      <c r="B27" s="10">
        <f>YEAR(A27)</f>
        <v>2025</v>
      </c>
      <c r="C27" s="10">
        <f>COUNTIFS('Парк NTE (SAP)'!$G$10:$G$271,"&gt;="&amp;A27,'Парк NTE (SAP)'!$G$10:$G$271,"&lt;="&amp;EOMONTH(A27,0))</f>
        <v>4</v>
      </c>
      <c r="D27" s="10">
        <f>COUNTIFS('Парк NTE (SAP)'!$I$10:$I$271,"&gt;="&amp;A27,'Парк NTE (SAP)'!$I$10:$I$271,"&lt;="&amp;EOMONTH(A27,0))</f>
        <v>9</v>
      </c>
      <c r="E27" s="36">
        <f>SUMPRODUCT(('Парк NTE (SAP)'!$B$10:$B$271="Полюс Красноярск")*('Парк NTE (SAP)'!$G$10:$G$271&lt;=EOMONTH(A27,0))*('Парк NTE (SAP)'!$I$10:$I$271&gt;=A27))</f>
        <v>41</v>
      </c>
      <c r="F27" s="37">
        <f>SUMPRODUCT(('Парк NTE (SAP)'!$B$10:$B$271="Полюс Сухой Лог")*('Парк NTE (SAP)'!$G$10:$G$271&lt;=EOMONTH(A27,0))*('Парк NTE (SAP)'!$I$10:$I$271&gt;=A27))</f>
        <v>0</v>
      </c>
      <c r="G27" s="38">
        <f>SUMPRODUCT(('Парк NTE (SAP)'!$B$10:$B$271="Полюс Магадан")*('Парк NTE (SAP)'!$G$10:$G$271&lt;=EOMONTH(A27,0))*('Парк NTE (SAP)'!$I$10:$I$271&gt;=A27))</f>
        <v>20</v>
      </c>
      <c r="H27" s="39">
        <f>E27+F27+G27</f>
        <v>61</v>
      </c>
      <c r="I27" s="36">
        <f>ROUNDUP(E27/$E$4,0)</f>
        <v>5</v>
      </c>
      <c r="J27" s="37">
        <f>ROUNDUP(F27/$E$4,0)</f>
        <v>0</v>
      </c>
      <c r="K27" s="38">
        <f>ROUNDUP(G27/$E$4,0)</f>
        <v>2</v>
      </c>
      <c r="L27" s="14">
        <f>(I27+J27+K27)*$E$5</f>
        <v>7</v>
      </c>
      <c r="M27" s="14">
        <f>(I27+J27+K27)*$E$6</f>
        <v>14</v>
      </c>
      <c r="N27" s="14">
        <f>(I27+J27+K27)*$E$7</f>
        <v>7</v>
      </c>
    </row>
    <row r="28">
      <c r="A28" s="35" t="n">
        <v>45809</v>
      </c>
      <c r="B28" s="10">
        <f>YEAR(A28)</f>
        <v>2025</v>
      </c>
      <c r="C28" s="10">
        <f>COUNTIFS('Парк NTE (SAP)'!$G$10:$G$271,"&gt;="&amp;A28,'Парк NTE (SAP)'!$G$10:$G$271,"&lt;="&amp;EOMONTH(A28,0))</f>
        <v>4</v>
      </c>
      <c r="D28" s="10">
        <f>COUNTIFS('Парк NTE (SAP)'!$I$10:$I$271,"&gt;="&amp;A28,'Парк NTE (SAP)'!$I$10:$I$271,"&lt;="&amp;EOMONTH(A28,0))</f>
        <v>5</v>
      </c>
      <c r="E28" s="36">
        <f>SUMPRODUCT(('Парк NTE (SAP)'!$B$10:$B$271="Полюс Красноярск")*('Парк NTE (SAP)'!$G$10:$G$271&lt;=EOMONTH(A28,0))*('Парк NTE (SAP)'!$I$10:$I$271&gt;=A28))</f>
        <v>40</v>
      </c>
      <c r="F28" s="37">
        <f>SUMPRODUCT(('Парк NTE (SAP)'!$B$10:$B$271="Полюс Сухой Лог")*('Парк NTE (SAP)'!$G$10:$G$271&lt;=EOMONTH(A28,0))*('Парк NTE (SAP)'!$I$10:$I$271&gt;=A28))</f>
        <v>0</v>
      </c>
      <c r="G28" s="38">
        <f>SUMPRODUCT(('Парк NTE (SAP)'!$B$10:$B$271="Полюс Магадан")*('Парк NTE (SAP)'!$G$10:$G$271&lt;=EOMONTH(A28,0))*('Парк NTE (SAP)'!$I$10:$I$271&gt;=A28))</f>
        <v>16</v>
      </c>
      <c r="H28" s="39">
        <f>E28+F28+G28</f>
        <v>56</v>
      </c>
      <c r="I28" s="36">
        <f>ROUNDUP(E28/$E$4,0)</f>
        <v>4</v>
      </c>
      <c r="J28" s="37">
        <f>ROUNDUP(F28/$E$4,0)</f>
        <v>0</v>
      </c>
      <c r="K28" s="38">
        <f>ROUNDUP(G28/$E$4,0)</f>
        <v>2</v>
      </c>
      <c r="L28" s="14">
        <f>(I28+J28+K28)*$E$5</f>
        <v>6</v>
      </c>
      <c r="M28" s="14">
        <f>(I28+J28+K28)*$E$6</f>
        <v>12</v>
      </c>
      <c r="N28" s="14">
        <f>(I28+J28+K28)*$E$7</f>
        <v>6</v>
      </c>
    </row>
    <row r="29">
      <c r="A29" s="35" t="n">
        <v>45839</v>
      </c>
      <c r="B29" s="10">
        <f>YEAR(A29)</f>
        <v>2025</v>
      </c>
      <c r="C29" s="10">
        <f>COUNTIFS('Парк NTE (SAP)'!$G$10:$G$271,"&gt;="&amp;A29,'Парк NTE (SAP)'!$G$10:$G$271,"&lt;="&amp;EOMONTH(A29,0))</f>
        <v>4</v>
      </c>
      <c r="D29" s="10">
        <f>COUNTIFS('Парк NTE (SAP)'!$I$10:$I$271,"&gt;="&amp;A29,'Парк NTE (SAP)'!$I$10:$I$271,"&lt;="&amp;EOMONTH(A29,0))</f>
        <v>2</v>
      </c>
      <c r="E29" s="36">
        <f>SUMPRODUCT(('Парк NTE (SAP)'!$B$10:$B$271="Полюс Красноярск")*('Парк NTE (SAP)'!$G$10:$G$271&lt;=EOMONTH(A29,0))*('Парк NTE (SAP)'!$I$10:$I$271&gt;=A29))</f>
        <v>39</v>
      </c>
      <c r="F29" s="37">
        <f>SUMPRODUCT(('Парк NTE (SAP)'!$B$10:$B$271="Полюс Сухой Лог")*('Парк NTE (SAP)'!$G$10:$G$271&lt;=EOMONTH(A29,0))*('Парк NTE (SAP)'!$I$10:$I$271&gt;=A29))</f>
        <v>0</v>
      </c>
      <c r="G29" s="38">
        <f>SUMPRODUCT(('Парк NTE (SAP)'!$B$10:$B$271="Полюс Магадан")*('Парк NTE (SAP)'!$G$10:$G$271&lt;=EOMONTH(A29,0))*('Парк NTE (SAP)'!$I$10:$I$271&gt;=A29))</f>
        <v>16</v>
      </c>
      <c r="H29" s="39">
        <f>E29+F29+G29</f>
        <v>55</v>
      </c>
      <c r="I29" s="36">
        <f>ROUNDUP(E29/$E$4,0)</f>
        <v>4</v>
      </c>
      <c r="J29" s="37">
        <f>ROUNDUP(F29/$E$4,0)</f>
        <v>0</v>
      </c>
      <c r="K29" s="38">
        <f>ROUNDUP(G29/$E$4,0)</f>
        <v>2</v>
      </c>
      <c r="L29" s="14">
        <f>(I29+J29+K29)*$E$5</f>
        <v>6</v>
      </c>
      <c r="M29" s="14">
        <f>(I29+J29+K29)*$E$6</f>
        <v>12</v>
      </c>
      <c r="N29" s="14">
        <f>(I29+J29+K29)*$E$7</f>
        <v>6</v>
      </c>
    </row>
    <row r="30">
      <c r="A30" s="35" t="n">
        <v>45870</v>
      </c>
      <c r="B30" s="10">
        <f>YEAR(A30)</f>
        <v>2025</v>
      </c>
      <c r="C30" s="10">
        <f>COUNTIFS('Парк NTE (SAP)'!$G$10:$G$271,"&gt;="&amp;A30,'Парк NTE (SAP)'!$G$10:$G$271,"&lt;="&amp;EOMONTH(A30,0))</f>
        <v>5</v>
      </c>
      <c r="D30" s="10">
        <f>COUNTIFS('Парк NTE (SAP)'!$I$10:$I$271,"&gt;="&amp;A30,'Парк NTE (SAP)'!$I$10:$I$271,"&lt;="&amp;EOMONTH(A30,0))</f>
        <v>2</v>
      </c>
      <c r="E30" s="36">
        <f>SUMPRODUCT(('Парк NTE (SAP)'!$B$10:$B$271="Полюс Красноярск")*('Парк NTE (SAP)'!$G$10:$G$271&lt;=EOMONTH(A30,0))*('Парк NTE (SAP)'!$I$10:$I$271&gt;=A30))</f>
        <v>42</v>
      </c>
      <c r="F30" s="37">
        <f>SUMPRODUCT(('Парк NTE (SAP)'!$B$10:$B$271="Полюс Сухой Лог")*('Парк NTE (SAP)'!$G$10:$G$271&lt;=EOMONTH(A30,0))*('Парк NTE (SAP)'!$I$10:$I$271&gt;=A30))</f>
        <v>0</v>
      </c>
      <c r="G30" s="38">
        <f>SUMPRODUCT(('Парк NTE (SAP)'!$B$10:$B$271="Полюс Магадан")*('Парк NTE (SAP)'!$G$10:$G$271&lt;=EOMONTH(A30,0))*('Парк NTE (SAP)'!$I$10:$I$271&gt;=A30))</f>
        <v>16</v>
      </c>
      <c r="H30" s="39">
        <f>E30+F30+G30</f>
        <v>58</v>
      </c>
      <c r="I30" s="36">
        <f>ROUNDUP(E30/$E$4,0)</f>
        <v>5</v>
      </c>
      <c r="J30" s="37">
        <f>ROUNDUP(F30/$E$4,0)</f>
        <v>0</v>
      </c>
      <c r="K30" s="38">
        <f>ROUNDUP(G30/$E$4,0)</f>
        <v>2</v>
      </c>
      <c r="L30" s="14">
        <f>(I30+J30+K30)*$E$5</f>
        <v>7</v>
      </c>
      <c r="M30" s="14">
        <f>(I30+J30+K30)*$E$6</f>
        <v>14</v>
      </c>
      <c r="N30" s="14">
        <f>(I30+J30+K30)*$E$7</f>
        <v>7</v>
      </c>
    </row>
    <row r="31">
      <c r="A31" s="35" t="n">
        <v>45901</v>
      </c>
      <c r="B31" s="10">
        <f>YEAR(A31)</f>
        <v>2025</v>
      </c>
      <c r="C31" s="10">
        <f>COUNTIFS('Парк NTE (SAP)'!$G$10:$G$271,"&gt;="&amp;A31,'Парк NTE (SAP)'!$G$10:$G$271,"&lt;="&amp;EOMONTH(A31,0))</f>
        <v>4</v>
      </c>
      <c r="D31" s="10">
        <f>COUNTIFS('Парк NTE (SAP)'!$I$10:$I$271,"&gt;="&amp;A31,'Парк NTE (SAP)'!$I$10:$I$271,"&lt;="&amp;EOMONTH(A31,0))</f>
        <v>4</v>
      </c>
      <c r="E31" s="36">
        <f>SUMPRODUCT(('Парк NTE (SAP)'!$B$10:$B$271="Полюс Красноярск")*('Парк NTE (SAP)'!$G$10:$G$271&lt;=EOMONTH(A31,0))*('Парк NTE (SAP)'!$I$10:$I$271&gt;=A31))</f>
        <v>44</v>
      </c>
      <c r="F31" s="37">
        <f>SUMPRODUCT(('Парк NTE (SAP)'!$B$10:$B$271="Полюс Сухой Лог")*('Парк NTE (SAP)'!$G$10:$G$271&lt;=EOMONTH(A31,0))*('Парк NTE (SAP)'!$I$10:$I$271&gt;=A31))</f>
        <v>0</v>
      </c>
      <c r="G31" s="38">
        <f>SUMPRODUCT(('Парк NTE (SAP)'!$B$10:$B$271="Полюс Магадан")*('Парк NTE (SAP)'!$G$10:$G$271&lt;=EOMONTH(A31,0))*('Парк NTE (SAP)'!$I$10:$I$271&gt;=A31))</f>
        <v>16</v>
      </c>
      <c r="H31" s="39">
        <f>E31+F31+G31</f>
        <v>60</v>
      </c>
      <c r="I31" s="36">
        <f>ROUNDUP(E31/$E$4,0)</f>
        <v>5</v>
      </c>
      <c r="J31" s="37">
        <f>ROUNDUP(F31/$E$4,0)</f>
        <v>0</v>
      </c>
      <c r="K31" s="38">
        <f>ROUNDUP(G31/$E$4,0)</f>
        <v>2</v>
      </c>
      <c r="L31" s="14">
        <f>(I31+J31+K31)*$E$5</f>
        <v>7</v>
      </c>
      <c r="M31" s="14">
        <f>(I31+J31+K31)*$E$6</f>
        <v>14</v>
      </c>
      <c r="N31" s="14">
        <f>(I31+J31+K31)*$E$7</f>
        <v>7</v>
      </c>
    </row>
    <row r="32">
      <c r="A32" s="35" t="n">
        <v>45931</v>
      </c>
      <c r="B32" s="10">
        <f>YEAR(A32)</f>
        <v>2025</v>
      </c>
      <c r="C32" s="10">
        <f>COUNTIFS('Парк NTE (SAP)'!$G$10:$G$271,"&gt;="&amp;A32,'Парк NTE (SAP)'!$G$10:$G$271,"&lt;="&amp;EOMONTH(A32,0))</f>
        <v>8</v>
      </c>
      <c r="D32" s="10">
        <f>COUNTIFS('Парк NTE (SAP)'!$I$10:$I$271,"&gt;="&amp;A32,'Парк NTE (SAP)'!$I$10:$I$271,"&lt;="&amp;EOMONTH(A32,0))</f>
        <v>2</v>
      </c>
      <c r="E32" s="36">
        <f>SUMPRODUCT(('Парк NTE (SAP)'!$B$10:$B$271="Полюс Красноярск")*('Парк NTE (SAP)'!$G$10:$G$271&lt;=EOMONTH(A32,0))*('Парк NTE (SAP)'!$I$10:$I$271&gt;=A32))</f>
        <v>45</v>
      </c>
      <c r="F32" s="37">
        <f>SUMPRODUCT(('Парк NTE (SAP)'!$B$10:$B$271="Полюс Сухой Лог")*('Парк NTE (SAP)'!$G$10:$G$271&lt;=EOMONTH(A32,0))*('Парк NTE (SAP)'!$I$10:$I$271&gt;=A32))</f>
        <v>0</v>
      </c>
      <c r="G32" s="38">
        <f>SUMPRODUCT(('Парк NTE (SAP)'!$B$10:$B$271="Полюс Магадан")*('Парк NTE (SAP)'!$G$10:$G$271&lt;=EOMONTH(A32,0))*('Парк NTE (SAP)'!$I$10:$I$271&gt;=A32))</f>
        <v>19</v>
      </c>
      <c r="H32" s="39">
        <f>E32+F32+G32</f>
        <v>64</v>
      </c>
      <c r="I32" s="36">
        <f>ROUNDUP(E32/$E$4,0)</f>
        <v>5</v>
      </c>
      <c r="J32" s="37">
        <f>ROUNDUP(F32/$E$4,0)</f>
        <v>0</v>
      </c>
      <c r="K32" s="38">
        <f>ROUNDUP(G32/$E$4,0)</f>
        <v>2</v>
      </c>
      <c r="L32" s="14">
        <f>(I32+J32+K32)*$E$5</f>
        <v>7</v>
      </c>
      <c r="M32" s="14">
        <f>(I32+J32+K32)*$E$6</f>
        <v>14</v>
      </c>
      <c r="N32" s="14">
        <f>(I32+J32+K32)*$E$7</f>
        <v>7</v>
      </c>
    </row>
    <row r="33">
      <c r="A33" s="35" t="n">
        <v>45962</v>
      </c>
      <c r="B33" s="10">
        <f>YEAR(A33)</f>
        <v>2025</v>
      </c>
      <c r="C33" s="10">
        <f>COUNTIFS('Парк NTE (SAP)'!$G$10:$G$271,"&gt;="&amp;A33,'Парк NTE (SAP)'!$G$10:$G$271,"&lt;="&amp;EOMONTH(A33,0))</f>
        <v>1</v>
      </c>
      <c r="D33" s="10">
        <f>COUNTIFS('Парк NTE (SAP)'!$I$10:$I$271,"&gt;="&amp;A33,'Парк NTE (SAP)'!$I$10:$I$271,"&lt;="&amp;EOMONTH(A33,0))</f>
        <v>0</v>
      </c>
      <c r="E33" s="36">
        <f>SUMPRODUCT(('Парк NTE (SAP)'!$B$10:$B$271="Полюс Красноярск")*('Парк NTE (SAP)'!$G$10:$G$271&lt;=EOMONTH(A33,0))*('Парк NTE (SAP)'!$I$10:$I$271&gt;=A33))</f>
        <v>43</v>
      </c>
      <c r="F33" s="37">
        <f>SUMPRODUCT(('Парк NTE (SAP)'!$B$10:$B$271="Полюс Сухой Лог")*('Парк NTE (SAP)'!$G$10:$G$271&lt;=EOMONTH(A33,0))*('Парк NTE (SAP)'!$I$10:$I$271&gt;=A33))</f>
        <v>0</v>
      </c>
      <c r="G33" s="38">
        <f>SUMPRODUCT(('Парк NTE (SAP)'!$B$10:$B$271="Полюс Магадан")*('Парк NTE (SAP)'!$G$10:$G$271&lt;=EOMONTH(A33,0))*('Парк NTE (SAP)'!$I$10:$I$271&gt;=A33))</f>
        <v>20</v>
      </c>
      <c r="H33" s="39">
        <f>E33+F33+G33</f>
        <v>63</v>
      </c>
      <c r="I33" s="36">
        <f>ROUNDUP(E33/$E$4,0)</f>
        <v>5</v>
      </c>
      <c r="J33" s="37">
        <f>ROUNDUP(F33/$E$4,0)</f>
        <v>0</v>
      </c>
      <c r="K33" s="38">
        <f>ROUNDUP(G33/$E$4,0)</f>
        <v>2</v>
      </c>
      <c r="L33" s="14">
        <f>(I33+J33+K33)*$E$5</f>
        <v>7</v>
      </c>
      <c r="M33" s="14">
        <f>(I33+J33+K33)*$E$6</f>
        <v>14</v>
      </c>
      <c r="N33" s="14">
        <f>(I33+J33+K33)*$E$7</f>
        <v>7</v>
      </c>
    </row>
    <row r="34">
      <c r="A34" s="35" t="n">
        <v>45992</v>
      </c>
      <c r="B34" s="10">
        <f>YEAR(A34)</f>
        <v>2025</v>
      </c>
      <c r="C34" s="10">
        <f>COUNTIFS('Парк NTE (SAP)'!$G$10:$G$271,"&gt;="&amp;A34,'Парк NTE (SAP)'!$G$10:$G$271,"&lt;="&amp;EOMONTH(A34,0))</f>
        <v>7</v>
      </c>
      <c r="D34" s="10">
        <f>COUNTIFS('Парк NTE (SAP)'!$I$10:$I$271,"&gt;="&amp;A34,'Парк NTE (SAP)'!$I$10:$I$271,"&lt;="&amp;EOMONTH(A34,0))</f>
        <v>6</v>
      </c>
      <c r="E34" s="36">
        <f>SUMPRODUCT(('Парк NTE (SAP)'!$B$10:$B$271="Полюс Красноярск")*('Парк NTE (SAP)'!$G$10:$G$271&lt;=EOMONTH(A34,0))*('Парк NTE (SAP)'!$I$10:$I$271&gt;=A34))</f>
        <v>43</v>
      </c>
      <c r="F34" s="37">
        <f>SUMPRODUCT(('Парк NTE (SAP)'!$B$10:$B$271="Полюс Сухой Лог")*('Парк NTE (SAP)'!$G$10:$G$271&lt;=EOMONTH(A34,0))*('Парк NTE (SAP)'!$I$10:$I$271&gt;=A34))</f>
        <v>0</v>
      </c>
      <c r="G34" s="38">
        <f>SUMPRODUCT(('Парк NTE (SAP)'!$B$10:$B$271="Полюс Магадан")*('Парк NTE (SAP)'!$G$10:$G$271&lt;=EOMONTH(A34,0))*('Парк NTE (SAP)'!$I$10:$I$271&gt;=A34))</f>
        <v>27</v>
      </c>
      <c r="H34" s="39">
        <f>E34+F34+G34</f>
        <v>70</v>
      </c>
      <c r="I34" s="36">
        <f>ROUNDUP(E34/$E$4,0)</f>
        <v>5</v>
      </c>
      <c r="J34" s="37">
        <f>ROUNDUP(F34/$E$4,0)</f>
        <v>0</v>
      </c>
      <c r="K34" s="38">
        <f>ROUNDUP(G34/$E$4,0)</f>
        <v>3</v>
      </c>
      <c r="L34" s="14">
        <f>(I34+J34+K34)*$E$5</f>
        <v>8</v>
      </c>
      <c r="M34" s="14">
        <f>(I34+J34+K34)*$E$6</f>
        <v>16</v>
      </c>
      <c r="N34" s="14">
        <f>(I34+J34+K34)*$E$7</f>
        <v>8</v>
      </c>
    </row>
    <row r="35">
      <c r="A35" s="35" t="n">
        <v>46023</v>
      </c>
      <c r="B35" s="10">
        <f>YEAR(A35)</f>
        <v>2026</v>
      </c>
      <c r="C35" s="10">
        <f>COUNTIFS('Парк NTE (SAP)'!$G$10:$G$271,"&gt;="&amp;A35,'Парк NTE (SAP)'!$G$10:$G$271,"&lt;="&amp;EOMONTH(A35,0))</f>
        <v>0</v>
      </c>
      <c r="D35" s="10">
        <f>COUNTIFS('Парк NTE (SAP)'!$I$10:$I$271,"&gt;="&amp;A35,'Парк NTE (SAP)'!$I$10:$I$271,"&lt;="&amp;EOMONTH(A35,0))</f>
        <v>10</v>
      </c>
      <c r="E35" s="36">
        <f>SUMPRODUCT(('Парк NTE (SAP)'!$B$10:$B$271="Полюс Красноярск")*('Парк NTE (SAP)'!$G$10:$G$271&lt;=EOMONTH(A35,0))*('Парк NTE (SAP)'!$I$10:$I$271&gt;=A35))</f>
        <v>39</v>
      </c>
      <c r="F35" s="37">
        <f>SUMPRODUCT(('Парк NTE (SAP)'!$B$10:$B$271="Полюс Сухой Лог")*('Парк NTE (SAP)'!$G$10:$G$271&lt;=EOMONTH(A35,0))*('Парк NTE (SAP)'!$I$10:$I$271&gt;=A35))</f>
        <v>0</v>
      </c>
      <c r="G35" s="38">
        <f>SUMPRODUCT(('Парк NTE (SAP)'!$B$10:$B$271="Полюс Магадан")*('Парк NTE (SAP)'!$G$10:$G$271&lt;=EOMONTH(A35,0))*('Парк NTE (SAP)'!$I$10:$I$271&gt;=A35))</f>
        <v>25</v>
      </c>
      <c r="H35" s="39">
        <f>E35+F35+G35</f>
        <v>64</v>
      </c>
      <c r="I35" s="36">
        <f>ROUNDUP(E35/$E$4,0)</f>
        <v>4</v>
      </c>
      <c r="J35" s="37">
        <f>ROUNDUP(F35/$E$4,0)</f>
        <v>0</v>
      </c>
      <c r="K35" s="38">
        <f>ROUNDUP(G35/$E$4,0)</f>
        <v>3</v>
      </c>
      <c r="L35" s="14">
        <f>(I35+J35+K35)*$E$5</f>
        <v>7</v>
      </c>
      <c r="M35" s="14">
        <f>(I35+J35+K35)*$E$6</f>
        <v>14</v>
      </c>
      <c r="N35" s="14">
        <f>(I35+J35+K35)*$E$7</f>
        <v>7</v>
      </c>
    </row>
    <row r="36">
      <c r="A36" s="35" t="n">
        <v>46054</v>
      </c>
      <c r="B36" s="10">
        <f>YEAR(A36)</f>
        <v>2026</v>
      </c>
      <c r="C36" s="10">
        <f>COUNTIFS('Парк NTE (SAP)'!$G$10:$G$271,"&gt;="&amp;A36,'Парк NTE (SAP)'!$G$10:$G$271,"&lt;="&amp;EOMONTH(A36,0))</f>
        <v>6</v>
      </c>
      <c r="D36" s="10">
        <f>COUNTIFS('Парк NTE (SAP)'!$I$10:$I$271,"&gt;="&amp;A36,'Парк NTE (SAP)'!$I$10:$I$271,"&lt;="&amp;EOMONTH(A36,0))</f>
        <v>9</v>
      </c>
      <c r="E36" s="36">
        <f>SUMPRODUCT(('Парк NTE (SAP)'!$B$10:$B$271="Полюс Красноярск")*('Парк NTE (SAP)'!$G$10:$G$271&lt;=EOMONTH(A36,0))*('Парк NTE (SAP)'!$I$10:$I$271&gt;=A36))</f>
        <v>41</v>
      </c>
      <c r="F36" s="37">
        <f>SUMPRODUCT(('Парк NTE (SAP)'!$B$10:$B$271="Полюс Сухой Лог")*('Парк NTE (SAP)'!$G$10:$G$271&lt;=EOMONTH(A36,0))*('Парк NTE (SAP)'!$I$10:$I$271&gt;=A36))</f>
        <v>0</v>
      </c>
      <c r="G36" s="38">
        <f>SUMPRODUCT(('Парк NTE (SAP)'!$B$10:$B$271="Полюс Магадан")*('Парк NTE (SAP)'!$G$10:$G$271&lt;=EOMONTH(A36,0))*('Парк NTE (SAP)'!$I$10:$I$271&gt;=A36))</f>
        <v>19</v>
      </c>
      <c r="H36" s="39">
        <f>E36+F36+G36</f>
        <v>60</v>
      </c>
      <c r="I36" s="36">
        <f>ROUNDUP(E36/$E$4,0)</f>
        <v>5</v>
      </c>
      <c r="J36" s="37">
        <f>ROUNDUP(F36/$E$4,0)</f>
        <v>0</v>
      </c>
      <c r="K36" s="38">
        <f>ROUNDUP(G36/$E$4,0)</f>
        <v>2</v>
      </c>
      <c r="L36" s="14">
        <f>(I36+J36+K36)*$E$5</f>
        <v>7</v>
      </c>
      <c r="M36" s="14">
        <f>(I36+J36+K36)*$E$6</f>
        <v>14</v>
      </c>
      <c r="N36" s="14">
        <f>(I36+J36+K36)*$E$7</f>
        <v>7</v>
      </c>
    </row>
    <row r="37">
      <c r="A37" s="35" t="n">
        <v>46082</v>
      </c>
      <c r="B37" s="10">
        <f>YEAR(A37)</f>
        <v>2026</v>
      </c>
      <c r="C37" s="10">
        <f>COUNTIFS('Парк NTE (SAP)'!$G$10:$G$271,"&gt;="&amp;A37,'Парк NTE (SAP)'!$G$10:$G$271,"&lt;="&amp;EOMONTH(A37,0))</f>
        <v>8</v>
      </c>
      <c r="D37" s="10">
        <f>COUNTIFS('Парк NTE (SAP)'!$I$10:$I$271,"&gt;="&amp;A37,'Парк NTE (SAP)'!$I$10:$I$271,"&lt;="&amp;EOMONTH(A37,0))</f>
        <v>6</v>
      </c>
      <c r="E37" s="36">
        <f>SUMPRODUCT(('Парк NTE (SAP)'!$B$10:$B$271="Полюс Красноярск")*('Парк NTE (SAP)'!$G$10:$G$271&lt;=EOMONTH(A37,0))*('Парк NTE (SAP)'!$I$10:$I$271&gt;=A37))</f>
        <v>46</v>
      </c>
      <c r="F37" s="37">
        <f>SUMPRODUCT(('Парк NTE (SAP)'!$B$10:$B$271="Полюс Сухой Лог")*('Парк NTE (SAP)'!$G$10:$G$271&lt;=EOMONTH(A37,0))*('Парк NTE (SAP)'!$I$10:$I$271&gt;=A37))</f>
        <v>0</v>
      </c>
      <c r="G37" s="38">
        <f>SUMPRODUCT(('Парк NTE (SAP)'!$B$10:$B$271="Полюс Магадан")*('Парк NTE (SAP)'!$G$10:$G$271&lt;=EOMONTH(A37,0))*('Парк NTE (SAP)'!$I$10:$I$271&gt;=A37))</f>
        <v>13</v>
      </c>
      <c r="H37" s="39">
        <f>E37+F37+G37</f>
        <v>59</v>
      </c>
      <c r="I37" s="36">
        <f>ROUNDUP(E37/$E$4,0)</f>
        <v>5</v>
      </c>
      <c r="J37" s="37">
        <f>ROUNDUP(F37/$E$4,0)</f>
        <v>0</v>
      </c>
      <c r="K37" s="38">
        <f>ROUNDUP(G37/$E$4,0)</f>
        <v>2</v>
      </c>
      <c r="L37" s="14">
        <f>(I37+J37+K37)*$E$5</f>
        <v>7</v>
      </c>
      <c r="M37" s="14">
        <f>(I37+J37+K37)*$E$6</f>
        <v>14</v>
      </c>
      <c r="N37" s="14">
        <f>(I37+J37+K37)*$E$7</f>
        <v>7</v>
      </c>
    </row>
    <row r="38">
      <c r="A38" s="35" t="n">
        <v>46113</v>
      </c>
      <c r="B38" s="10">
        <f>YEAR(A38)</f>
        <v>2026</v>
      </c>
      <c r="C38" s="10">
        <f>COUNTIFS('Парк NTE (SAP)'!$G$10:$G$271,"&gt;="&amp;A38,'Парк NTE (SAP)'!$G$10:$G$271,"&lt;="&amp;EOMONTH(A38,0))</f>
        <v>6</v>
      </c>
      <c r="D38" s="10">
        <f>COUNTIFS('Парк NTE (SAP)'!$I$10:$I$271,"&gt;="&amp;A38,'Парк NTE (SAP)'!$I$10:$I$271,"&lt;="&amp;EOMONTH(A38,0))</f>
        <v>2</v>
      </c>
      <c r="E38" s="36">
        <f>SUMPRODUCT(('Парк NTE (SAP)'!$B$10:$B$271="Полюс Красноярск")*('Парк NTE (SAP)'!$G$10:$G$271&lt;=EOMONTH(A38,0))*('Парк NTE (SAP)'!$I$10:$I$271&gt;=A38))</f>
        <v>48</v>
      </c>
      <c r="F38" s="37">
        <f>SUMPRODUCT(('Парк NTE (SAP)'!$B$10:$B$271="Полюс Сухой Лог")*('Парк NTE (SAP)'!$G$10:$G$271&lt;=EOMONTH(A38,0))*('Парк NTE (SAP)'!$I$10:$I$271&gt;=A38))</f>
        <v>0</v>
      </c>
      <c r="G38" s="38">
        <f>SUMPRODUCT(('Парк NTE (SAP)'!$B$10:$B$271="Полюс Магадан")*('Парк NTE (SAP)'!$G$10:$G$271&lt;=EOMONTH(A38,0))*('Парк NTE (SAP)'!$I$10:$I$271&gt;=A38))</f>
        <v>11</v>
      </c>
      <c r="H38" s="39">
        <f>E38+F38+G38</f>
        <v>59</v>
      </c>
      <c r="I38" s="36">
        <f>ROUNDUP(E38/$E$4,0)</f>
        <v>5</v>
      </c>
      <c r="J38" s="37">
        <f>ROUNDUP(F38/$E$4,0)</f>
        <v>0</v>
      </c>
      <c r="K38" s="38">
        <f>ROUNDUP(G38/$E$4,0)</f>
        <v>2</v>
      </c>
      <c r="L38" s="14">
        <f>(I38+J38+K38)*$E$5</f>
        <v>7</v>
      </c>
      <c r="M38" s="14">
        <f>(I38+J38+K38)*$E$6</f>
        <v>14</v>
      </c>
      <c r="N38" s="14">
        <f>(I38+J38+K38)*$E$7</f>
        <v>7</v>
      </c>
    </row>
    <row r="39">
      <c r="A39" s="35" t="n">
        <v>46143</v>
      </c>
      <c r="B39" s="10">
        <f>YEAR(A39)</f>
        <v>2026</v>
      </c>
      <c r="C39" s="10">
        <f>COUNTIFS('Парк NTE (SAP)'!$G$10:$G$271,"&gt;="&amp;A39,'Парк NTE (SAP)'!$G$10:$G$271,"&lt;="&amp;EOMONTH(A39,0))</f>
        <v>5</v>
      </c>
      <c r="D39" s="10">
        <f>COUNTIFS('Парк NTE (SAP)'!$I$10:$I$271,"&gt;="&amp;A39,'Парк NTE (SAP)'!$I$10:$I$271,"&lt;="&amp;EOMONTH(A39,0))</f>
        <v>4</v>
      </c>
      <c r="E39" s="36">
        <f>SUMPRODUCT(('Парк NTE (SAP)'!$B$10:$B$271="Полюс Красноярск")*('Парк NTE (SAP)'!$G$10:$G$271&lt;=EOMONTH(A39,0))*('Парк NTE (SAP)'!$I$10:$I$271&gt;=A39))</f>
        <v>51</v>
      </c>
      <c r="F39" s="37">
        <f>SUMPRODUCT(('Парк NTE (SAP)'!$B$10:$B$271="Полюс Сухой Лог")*('Парк NTE (SAP)'!$G$10:$G$271&lt;=EOMONTH(A39,0))*('Парк NTE (SAP)'!$I$10:$I$271&gt;=A39))</f>
        <v>0</v>
      </c>
      <c r="G39" s="38">
        <f>SUMPRODUCT(('Парк NTE (SAP)'!$B$10:$B$271="Полюс Магадан")*('Парк NTE (SAP)'!$G$10:$G$271&lt;=EOMONTH(A39,0))*('Парк NTE (SAP)'!$I$10:$I$271&gt;=A39))</f>
        <v>11</v>
      </c>
      <c r="H39" s="39">
        <f>E39+F39+G39</f>
        <v>62</v>
      </c>
      <c r="I39" s="36">
        <f>ROUNDUP(E39/$E$4,0)</f>
        <v>6</v>
      </c>
      <c r="J39" s="37">
        <f>ROUNDUP(F39/$E$4,0)</f>
        <v>0</v>
      </c>
      <c r="K39" s="38">
        <f>ROUNDUP(G39/$E$4,0)</f>
        <v>2</v>
      </c>
      <c r="L39" s="14">
        <f>(I39+J39+K39)*$E$5</f>
        <v>8</v>
      </c>
      <c r="M39" s="14">
        <f>(I39+J39+K39)*$E$6</f>
        <v>16</v>
      </c>
      <c r="N39" s="14">
        <f>(I39+J39+K39)*$E$7</f>
        <v>8</v>
      </c>
    </row>
    <row r="40">
      <c r="A40" s="35" t="n">
        <v>46174</v>
      </c>
      <c r="B40" s="10">
        <f>YEAR(A40)</f>
        <v>2026</v>
      </c>
      <c r="C40" s="10">
        <f>COUNTIFS('Парк NTE (SAP)'!$G$10:$G$271,"&gt;="&amp;A40,'Парк NTE (SAP)'!$G$10:$G$271,"&lt;="&amp;EOMONTH(A40,0))</f>
        <v>6</v>
      </c>
      <c r="D40" s="10">
        <f>COUNTIFS('Парк NTE (SAP)'!$I$10:$I$271,"&gt;="&amp;A40,'Парк NTE (SAP)'!$I$10:$I$271,"&lt;="&amp;EOMONTH(A40,0))</f>
        <v>4</v>
      </c>
      <c r="E40" s="36">
        <f>SUMPRODUCT(('Парк NTE (SAP)'!$B$10:$B$271="Полюс Красноярск")*('Парк NTE (SAP)'!$G$10:$G$271&lt;=EOMONTH(A40,0))*('Парк NTE (SAP)'!$I$10:$I$271&gt;=A40))</f>
        <v>53</v>
      </c>
      <c r="F40" s="37">
        <f>SUMPRODUCT(('Парк NTE (SAP)'!$B$10:$B$271="Полюс Сухой Лог")*('Парк NTE (SAP)'!$G$10:$G$271&lt;=EOMONTH(A40,0))*('Парк NTE (SAP)'!$I$10:$I$271&gt;=A40))</f>
        <v>0</v>
      </c>
      <c r="G40" s="38">
        <f>SUMPRODUCT(('Парк NTE (SAP)'!$B$10:$B$271="Полюс Магадан")*('Парк NTE (SAP)'!$G$10:$G$271&lt;=EOMONTH(A40,0))*('Парк NTE (SAP)'!$I$10:$I$271&gt;=A40))</f>
        <v>11</v>
      </c>
      <c r="H40" s="39">
        <f>E40+F40+G40</f>
        <v>64</v>
      </c>
      <c r="I40" s="36">
        <f>ROUNDUP(E40/$E$4,0)</f>
        <v>6</v>
      </c>
      <c r="J40" s="37">
        <f>ROUNDUP(F40/$E$4,0)</f>
        <v>0</v>
      </c>
      <c r="K40" s="38">
        <f>ROUNDUP(G40/$E$4,0)</f>
        <v>2</v>
      </c>
      <c r="L40" s="14">
        <f>(I40+J40+K40)*$E$5</f>
        <v>8</v>
      </c>
      <c r="M40" s="14">
        <f>(I40+J40+K40)*$E$6</f>
        <v>16</v>
      </c>
      <c r="N40" s="14">
        <f>(I40+J40+K40)*$E$7</f>
        <v>8</v>
      </c>
    </row>
    <row r="41">
      <c r="A41" s="35" t="n">
        <v>46204</v>
      </c>
      <c r="B41" s="10">
        <f>YEAR(A41)</f>
        <v>2026</v>
      </c>
      <c r="C41" s="10">
        <f>COUNTIFS('Парк NTE (SAP)'!$G$10:$G$271,"&gt;="&amp;A41,'Парк NTE (SAP)'!$G$10:$G$271,"&lt;="&amp;EOMONTH(A41,0))</f>
        <v>2</v>
      </c>
      <c r="D41" s="10">
        <f>COUNTIFS('Парк NTE (SAP)'!$I$10:$I$271,"&gt;="&amp;A41,'Парк NTE (SAP)'!$I$10:$I$271,"&lt;="&amp;EOMONTH(A41,0))</f>
        <v>4</v>
      </c>
      <c r="E41" s="36">
        <f>SUMPRODUCT(('Парк NTE (SAP)'!$B$10:$B$271="Полюс Красноярск")*('Парк NTE (SAP)'!$G$10:$G$271&lt;=EOMONTH(A41,0))*('Парк NTE (SAP)'!$I$10:$I$271&gt;=A41))</f>
        <v>51</v>
      </c>
      <c r="F41" s="37">
        <f>SUMPRODUCT(('Парк NTE (SAP)'!$B$10:$B$271="Полюс Сухой Лог")*('Парк NTE (SAP)'!$G$10:$G$271&lt;=EOMONTH(A41,0))*('Парк NTE (SAP)'!$I$10:$I$271&gt;=A41))</f>
        <v>0</v>
      </c>
      <c r="G41" s="38">
        <f>SUMPRODUCT(('Парк NTE (SAP)'!$B$10:$B$271="Полюс Магадан")*('Парк NTE (SAP)'!$G$10:$G$271&lt;=EOMONTH(A41,0))*('Парк NTE (SAP)'!$I$10:$I$271&gt;=A41))</f>
        <v>11</v>
      </c>
      <c r="H41" s="39">
        <f>E41+F41+G41</f>
        <v>62</v>
      </c>
      <c r="I41" s="36">
        <f>ROUNDUP(E41/$E$4,0)</f>
        <v>6</v>
      </c>
      <c r="J41" s="37">
        <f>ROUNDUP(F41/$E$4,0)</f>
        <v>0</v>
      </c>
      <c r="K41" s="38">
        <f>ROUNDUP(G41/$E$4,0)</f>
        <v>2</v>
      </c>
      <c r="L41" s="14">
        <f>(I41+J41+K41)*$E$5</f>
        <v>8</v>
      </c>
      <c r="M41" s="14">
        <f>(I41+J41+K41)*$E$6</f>
        <v>16</v>
      </c>
      <c r="N41" s="14">
        <f>(I41+J41+K41)*$E$7</f>
        <v>8</v>
      </c>
    </row>
    <row r="42">
      <c r="A42" s="35" t="n">
        <v>46235</v>
      </c>
      <c r="B42" s="10">
        <f>YEAR(A42)</f>
        <v>2026</v>
      </c>
      <c r="C42" s="10">
        <f>COUNTIFS('Парк NTE (SAP)'!$G$10:$G$271,"&gt;="&amp;A42,'Парк NTE (SAP)'!$G$10:$G$271,"&lt;="&amp;EOMONTH(A42,0))</f>
        <v>0</v>
      </c>
      <c r="D42" s="10">
        <f>COUNTIFS('Парк NTE (SAP)'!$I$10:$I$271,"&gt;="&amp;A42,'Парк NTE (SAP)'!$I$10:$I$271,"&lt;="&amp;EOMONTH(A42,0))</f>
        <v>5</v>
      </c>
      <c r="E42" s="36">
        <f>SUMPRODUCT(('Парк NTE (SAP)'!$B$10:$B$271="Полюс Красноярск")*('Парк NTE (SAP)'!$G$10:$G$271&lt;=EOMONTH(A42,0))*('Парк NTE (SAP)'!$I$10:$I$271&gt;=A42))</f>
        <v>47</v>
      </c>
      <c r="F42" s="37">
        <f>SUMPRODUCT(('Парк NTE (SAP)'!$B$10:$B$271="Полюс Сухой Лог")*('Парк NTE (SAP)'!$G$10:$G$271&lt;=EOMONTH(A42,0))*('Парк NTE (SAP)'!$I$10:$I$271&gt;=A42))</f>
        <v>0</v>
      </c>
      <c r="G42" s="38">
        <f>SUMPRODUCT(('Парк NTE (SAP)'!$B$10:$B$271="Полюс Магадан")*('Парк NTE (SAP)'!$G$10:$G$271&lt;=EOMONTH(A42,0))*('Парк NTE (SAP)'!$I$10:$I$271&gt;=A42))</f>
        <v>11</v>
      </c>
      <c r="H42" s="39">
        <f>E42+F42+G42</f>
        <v>58</v>
      </c>
      <c r="I42" s="36">
        <f>ROUNDUP(E42/$E$4,0)</f>
        <v>5</v>
      </c>
      <c r="J42" s="37">
        <f>ROUNDUP(F42/$E$4,0)</f>
        <v>0</v>
      </c>
      <c r="K42" s="38">
        <f>ROUNDUP(G42/$E$4,0)</f>
        <v>2</v>
      </c>
      <c r="L42" s="14">
        <f>(I42+J42+K42)*$E$5</f>
        <v>7</v>
      </c>
      <c r="M42" s="14">
        <f>(I42+J42+K42)*$E$6</f>
        <v>14</v>
      </c>
      <c r="N42" s="14">
        <f>(I42+J42+K42)*$E$7</f>
        <v>7</v>
      </c>
    </row>
    <row r="43">
      <c r="A43" s="35" t="n">
        <v>46266</v>
      </c>
      <c r="B43" s="10">
        <f>YEAR(A43)</f>
        <v>2026</v>
      </c>
      <c r="C43" s="10">
        <f>COUNTIFS('Парк NTE (SAP)'!$G$10:$G$271,"&gt;="&amp;A43,'Парк NTE (SAP)'!$G$10:$G$271,"&lt;="&amp;EOMONTH(A43,0))</f>
        <v>3</v>
      </c>
      <c r="D43" s="10">
        <f>COUNTIFS('Парк NTE (SAP)'!$I$10:$I$271,"&gt;="&amp;A43,'Парк NTE (SAP)'!$I$10:$I$271,"&lt;="&amp;EOMONTH(A43,0))</f>
        <v>4</v>
      </c>
      <c r="E43" s="36">
        <f>SUMPRODUCT(('Парк NTE (SAP)'!$B$10:$B$271="Полюс Красноярск")*('Парк NTE (SAP)'!$G$10:$G$271&lt;=EOMONTH(A43,0))*('Парк NTE (SAP)'!$I$10:$I$271&gt;=A43))</f>
        <v>42</v>
      </c>
      <c r="F43" s="37">
        <f>SUMPRODUCT(('Парк NTE (SAP)'!$B$10:$B$271="Полюс Сухой Лог")*('Парк NTE (SAP)'!$G$10:$G$271&lt;=EOMONTH(A43,0))*('Парк NTE (SAP)'!$I$10:$I$271&gt;=A43))</f>
        <v>3</v>
      </c>
      <c r="G43" s="38">
        <f>SUMPRODUCT(('Парк NTE (SAP)'!$B$10:$B$271="Полюс Магадан")*('Парк NTE (SAP)'!$G$10:$G$271&lt;=EOMONTH(A43,0))*('Парк NTE (SAP)'!$I$10:$I$271&gt;=A43))</f>
        <v>11</v>
      </c>
      <c r="H43" s="39">
        <f>E43+F43+G43</f>
        <v>56</v>
      </c>
      <c r="I43" s="36">
        <f>ROUNDUP(E43/$E$4,0)</f>
        <v>5</v>
      </c>
      <c r="J43" s="37">
        <f>ROUNDUP(F43/$E$4,0)</f>
        <v>1</v>
      </c>
      <c r="K43" s="38">
        <f>ROUNDUP(G43/$E$4,0)</f>
        <v>2</v>
      </c>
      <c r="L43" s="14">
        <f>(I43+J43+K43)*$E$5</f>
        <v>8</v>
      </c>
      <c r="M43" s="14">
        <f>(I43+J43+K43)*$E$6</f>
        <v>16</v>
      </c>
      <c r="N43" s="14">
        <f>(I43+J43+K43)*$E$7</f>
        <v>8</v>
      </c>
    </row>
    <row r="44">
      <c r="A44" s="35" t="n">
        <v>46296</v>
      </c>
      <c r="B44" s="10">
        <f>YEAR(A44)</f>
        <v>2026</v>
      </c>
      <c r="C44" s="10">
        <f>COUNTIFS('Парк NTE (SAP)'!$G$10:$G$271,"&gt;="&amp;A44,'Парк NTE (SAP)'!$G$10:$G$271,"&lt;="&amp;EOMONTH(A44,0))</f>
        <v>3</v>
      </c>
      <c r="D44" s="10">
        <f>COUNTIFS('Парк NTE (SAP)'!$I$10:$I$271,"&gt;="&amp;A44,'Парк NTE (SAP)'!$I$10:$I$271,"&lt;="&amp;EOMONTH(A44,0))</f>
        <v>1</v>
      </c>
      <c r="E44" s="36">
        <f>SUMPRODUCT(('Парк NTE (SAP)'!$B$10:$B$271="Полюс Красноярск")*('Парк NTE (SAP)'!$G$10:$G$271&lt;=EOMONTH(A44,0))*('Парк NTE (SAP)'!$I$10:$I$271&gt;=A44))</f>
        <v>38</v>
      </c>
      <c r="F44" s="37">
        <f>SUMPRODUCT(('Парк NTE (SAP)'!$B$10:$B$271="Полюс Сухой Лог")*('Парк NTE (SAP)'!$G$10:$G$271&lt;=EOMONTH(A44,0))*('Парк NTE (SAP)'!$I$10:$I$271&gt;=A44))</f>
        <v>6</v>
      </c>
      <c r="G44" s="38">
        <f>SUMPRODUCT(('Парк NTE (SAP)'!$B$10:$B$271="Полюс Магадан")*('Парк NTE (SAP)'!$G$10:$G$271&lt;=EOMONTH(A44,0))*('Парк NTE (SAP)'!$I$10:$I$271&gt;=A44))</f>
        <v>11</v>
      </c>
      <c r="H44" s="39">
        <f>E44+F44+G44</f>
        <v>55</v>
      </c>
      <c r="I44" s="36">
        <f>ROUNDUP(E44/$E$4,0)</f>
        <v>4</v>
      </c>
      <c r="J44" s="37">
        <f>ROUNDUP(F44/$E$4,0)</f>
        <v>1</v>
      </c>
      <c r="K44" s="38">
        <f>ROUNDUP(G44/$E$4,0)</f>
        <v>2</v>
      </c>
      <c r="L44" s="14">
        <f>(I44+J44+K44)*$E$5</f>
        <v>7</v>
      </c>
      <c r="M44" s="14">
        <f>(I44+J44+K44)*$E$6</f>
        <v>14</v>
      </c>
      <c r="N44" s="14">
        <f>(I44+J44+K44)*$E$7</f>
        <v>7</v>
      </c>
    </row>
    <row r="45">
      <c r="A45" s="35" t="n">
        <v>46327</v>
      </c>
      <c r="B45" s="10">
        <f>YEAR(A45)</f>
        <v>2026</v>
      </c>
      <c r="C45" s="10">
        <f>COUNTIFS('Парк NTE (SAP)'!$G$10:$G$271,"&gt;="&amp;A45,'Парк NTE (SAP)'!$G$10:$G$271,"&lt;="&amp;EOMONTH(A45,0))</f>
        <v>9</v>
      </c>
      <c r="D45" s="10">
        <f>COUNTIFS('Парк NTE (SAP)'!$I$10:$I$271,"&gt;="&amp;A45,'Парк NTE (SAP)'!$I$10:$I$271,"&lt;="&amp;EOMONTH(A45,0))</f>
        <v>0</v>
      </c>
      <c r="E45" s="36">
        <f>SUMPRODUCT(('Парк NTE (SAP)'!$B$10:$B$271="Полюс Красноярск")*('Парк NTE (SAP)'!$G$10:$G$271&lt;=EOMONTH(A45,0))*('Парк NTE (SAP)'!$I$10:$I$271&gt;=A45))</f>
        <v>43</v>
      </c>
      <c r="F45" s="37">
        <f>SUMPRODUCT(('Парк NTE (SAP)'!$B$10:$B$271="Полюс Сухой Лог")*('Парк NTE (SAP)'!$G$10:$G$271&lt;=EOMONTH(A45,0))*('Парк NTE (SAP)'!$I$10:$I$271&gt;=A45))</f>
        <v>9</v>
      </c>
      <c r="G45" s="38">
        <f>SUMPRODUCT(('Парк NTE (SAP)'!$B$10:$B$271="Полюс Магадан")*('Парк NTE (SAP)'!$G$10:$G$271&lt;=EOMONTH(A45,0))*('Парк NTE (SAP)'!$I$10:$I$271&gt;=A45))</f>
        <v>11</v>
      </c>
      <c r="H45" s="39">
        <f>E45+F45+G45</f>
        <v>63</v>
      </c>
      <c r="I45" s="36">
        <f>ROUNDUP(E45/$E$4,0)</f>
        <v>5</v>
      </c>
      <c r="J45" s="37">
        <f>ROUNDUP(F45/$E$4,0)</f>
        <v>1</v>
      </c>
      <c r="K45" s="38">
        <f>ROUNDUP(G45/$E$4,0)</f>
        <v>2</v>
      </c>
      <c r="L45" s="14">
        <f>(I45+J45+K45)*$E$5</f>
        <v>8</v>
      </c>
      <c r="M45" s="14">
        <f>(I45+J45+K45)*$E$6</f>
        <v>16</v>
      </c>
      <c r="N45" s="14">
        <f>(I45+J45+K45)*$E$7</f>
        <v>8</v>
      </c>
    </row>
    <row r="46">
      <c r="A46" s="35" t="n">
        <v>46357</v>
      </c>
      <c r="B46" s="10">
        <f>YEAR(A46)</f>
        <v>2026</v>
      </c>
      <c r="C46" s="10">
        <f>COUNTIFS('Парк NTE (SAP)'!$G$10:$G$271,"&gt;="&amp;A46,'Парк NTE (SAP)'!$G$10:$G$271,"&lt;="&amp;EOMONTH(A46,0))</f>
        <v>6</v>
      </c>
      <c r="D46" s="10">
        <f>COUNTIFS('Парк NTE (SAP)'!$I$10:$I$271,"&gt;="&amp;A46,'Парк NTE (SAP)'!$I$10:$I$271,"&lt;="&amp;EOMONTH(A46,0))</f>
        <v>0</v>
      </c>
      <c r="E46" s="36">
        <f>SUMPRODUCT(('Парк NTE (SAP)'!$B$10:$B$271="Полюс Красноярск")*('Парк NTE (SAP)'!$G$10:$G$271&lt;=EOMONTH(A46,0))*('Парк NTE (SAP)'!$I$10:$I$271&gt;=A46))</f>
        <v>49</v>
      </c>
      <c r="F46" s="37">
        <f>SUMPRODUCT(('Парк NTE (SAP)'!$B$10:$B$271="Полюс Сухой Лог")*('Парк NTE (SAP)'!$G$10:$G$271&lt;=EOMONTH(A46,0))*('Парк NTE (SAP)'!$I$10:$I$271&gt;=A46))</f>
        <v>9</v>
      </c>
      <c r="G46" s="38">
        <f>SUMPRODUCT(('Парк NTE (SAP)'!$B$10:$B$271="Полюс Магадан")*('Парк NTE (SAP)'!$G$10:$G$271&lt;=EOMONTH(A46,0))*('Парк NTE (SAP)'!$I$10:$I$271&gt;=A46))</f>
        <v>11</v>
      </c>
      <c r="H46" s="39">
        <f>E46+F46+G46</f>
        <v>69</v>
      </c>
      <c r="I46" s="36">
        <f>ROUNDUP(E46/$E$4,0)</f>
        <v>5</v>
      </c>
      <c r="J46" s="37">
        <f>ROUNDUP(F46/$E$4,0)</f>
        <v>1</v>
      </c>
      <c r="K46" s="38">
        <f>ROUNDUP(G46/$E$4,0)</f>
        <v>2</v>
      </c>
      <c r="L46" s="14">
        <f>(I46+J46+K46)*$E$5</f>
        <v>8</v>
      </c>
      <c r="M46" s="14">
        <f>(I46+J46+K46)*$E$6</f>
        <v>16</v>
      </c>
      <c r="N46" s="14">
        <f>(I46+J46+K46)*$E$7</f>
        <v>8</v>
      </c>
    </row>
    <row r="47">
      <c r="A47" s="35" t="n">
        <v>46388</v>
      </c>
      <c r="B47" s="10">
        <f>YEAR(A47)</f>
        <v>2027</v>
      </c>
      <c r="C47" s="10">
        <f>COUNTIFS('Парк NTE (SAP)'!$G$10:$G$271,"&gt;="&amp;A47,'Парк NTE (SAP)'!$G$10:$G$271,"&lt;="&amp;EOMONTH(A47,0))</f>
        <v>6</v>
      </c>
      <c r="D47" s="10">
        <f>COUNTIFS('Парк NTE (SAP)'!$I$10:$I$271,"&gt;="&amp;A47,'Парк NTE (SAP)'!$I$10:$I$271,"&lt;="&amp;EOMONTH(A47,0))</f>
        <v>0</v>
      </c>
      <c r="E47" s="36">
        <f>SUMPRODUCT(('Парк NTE (SAP)'!$B$10:$B$271="Полюс Красноярск")*('Парк NTE (SAP)'!$G$10:$G$271&lt;=EOMONTH(A47,0))*('Парк NTE (SAP)'!$I$10:$I$271&gt;=A47))</f>
        <v>51</v>
      </c>
      <c r="F47" s="37">
        <f>SUMPRODUCT(('Парк NTE (SAP)'!$B$10:$B$271="Полюс Сухой Лог")*('Парк NTE (SAP)'!$G$10:$G$271&lt;=EOMONTH(A47,0))*('Парк NTE (SAP)'!$I$10:$I$271&gt;=A47))</f>
        <v>9</v>
      </c>
      <c r="G47" s="38">
        <f>SUMPRODUCT(('Парк NTE (SAP)'!$B$10:$B$271="Полюс Магадан")*('Парк NTE (SAP)'!$G$10:$G$271&lt;=EOMONTH(A47,0))*('Парк NTE (SAP)'!$I$10:$I$271&gt;=A47))</f>
        <v>15</v>
      </c>
      <c r="H47" s="39">
        <f>E47+F47+G47</f>
        <v>75</v>
      </c>
      <c r="I47" s="36">
        <f>ROUNDUP(E47/$E$4,0)</f>
        <v>6</v>
      </c>
      <c r="J47" s="37">
        <f>ROUNDUP(F47/$E$4,0)</f>
        <v>1</v>
      </c>
      <c r="K47" s="38">
        <f>ROUNDUP(G47/$E$4,0)</f>
        <v>2</v>
      </c>
      <c r="L47" s="14">
        <f>(I47+J47+K47)*$E$5</f>
        <v>9</v>
      </c>
      <c r="M47" s="14">
        <f>(I47+J47+K47)*$E$6</f>
        <v>18</v>
      </c>
      <c r="N47" s="14">
        <f>(I47+J47+K47)*$E$7</f>
        <v>9</v>
      </c>
    </row>
    <row r="48">
      <c r="A48" s="35" t="n">
        <v>46419</v>
      </c>
      <c r="B48" s="10">
        <f>YEAR(A48)</f>
        <v>2027</v>
      </c>
      <c r="C48" s="10">
        <f>COUNTIFS('Парк NTE (SAP)'!$G$10:$G$271,"&gt;="&amp;A48,'Парк NTE (SAP)'!$G$10:$G$271,"&lt;="&amp;EOMONTH(A48,0))</f>
        <v>3</v>
      </c>
      <c r="D48" s="10">
        <f>COUNTIFS('Парк NTE (SAP)'!$I$10:$I$271,"&gt;="&amp;A48,'Парк NTE (SAP)'!$I$10:$I$271,"&lt;="&amp;EOMONTH(A48,0))</f>
        <v>0</v>
      </c>
      <c r="E48" s="36">
        <f>SUMPRODUCT(('Парк NTE (SAP)'!$B$10:$B$271="Полюс Красноярск")*('Парк NTE (SAP)'!$G$10:$G$271&lt;=EOMONTH(A48,0))*('Парк NTE (SAP)'!$I$10:$I$271&gt;=A48))</f>
        <v>51</v>
      </c>
      <c r="F48" s="37">
        <f>SUMPRODUCT(('Парк NTE (SAP)'!$B$10:$B$271="Полюс Сухой Лог")*('Парк NTE (SAP)'!$G$10:$G$271&lt;=EOMONTH(A48,0))*('Парк NTE (SAP)'!$I$10:$I$271&gt;=A48))</f>
        <v>9</v>
      </c>
      <c r="G48" s="38">
        <f>SUMPRODUCT(('Парк NTE (SAP)'!$B$10:$B$271="Полюс Магадан")*('Парк NTE (SAP)'!$G$10:$G$271&lt;=EOMONTH(A48,0))*('Парк NTE (SAP)'!$I$10:$I$271&gt;=A48))</f>
        <v>18</v>
      </c>
      <c r="H48" s="39">
        <f>E48+F48+G48</f>
        <v>78</v>
      </c>
      <c r="I48" s="36">
        <f>ROUNDUP(E48/$E$4,0)</f>
        <v>6</v>
      </c>
      <c r="J48" s="37">
        <f>ROUNDUP(F48/$E$4,0)</f>
        <v>1</v>
      </c>
      <c r="K48" s="38">
        <f>ROUNDUP(G48/$E$4,0)</f>
        <v>2</v>
      </c>
      <c r="L48" s="14">
        <f>(I48+J48+K48)*$E$5</f>
        <v>9</v>
      </c>
      <c r="M48" s="14">
        <f>(I48+J48+K48)*$E$6</f>
        <v>18</v>
      </c>
      <c r="N48" s="14">
        <f>(I48+J48+K48)*$E$7</f>
        <v>9</v>
      </c>
    </row>
    <row r="49">
      <c r="A49" s="35" t="n">
        <v>46447</v>
      </c>
      <c r="B49" s="10">
        <f>YEAR(A49)</f>
        <v>2027</v>
      </c>
      <c r="C49" s="10">
        <f>COUNTIFS('Парк NTE (SAP)'!$G$10:$G$271,"&gt;="&amp;A49,'Парк NTE (SAP)'!$G$10:$G$271,"&lt;="&amp;EOMONTH(A49,0))</f>
        <v>0</v>
      </c>
      <c r="D49" s="10">
        <f>COUNTIFS('Парк NTE (SAP)'!$I$10:$I$271,"&gt;="&amp;A49,'Парк NTE (SAP)'!$I$10:$I$271,"&lt;="&amp;EOMONTH(A49,0))</f>
        <v>0</v>
      </c>
      <c r="E49" s="36">
        <f>SUMPRODUCT(('Парк NTE (SAP)'!$B$10:$B$271="Полюс Красноярск")*('Парк NTE (SAP)'!$G$10:$G$271&lt;=EOMONTH(A49,0))*('Парк NTE (SAP)'!$I$10:$I$271&gt;=A49))</f>
        <v>51</v>
      </c>
      <c r="F49" s="37">
        <f>SUMPRODUCT(('Парк NTE (SAP)'!$B$10:$B$271="Полюс Сухой Лог")*('Парк NTE (SAP)'!$G$10:$G$271&lt;=EOMONTH(A49,0))*('Парк NTE (SAP)'!$I$10:$I$271&gt;=A49))</f>
        <v>9</v>
      </c>
      <c r="G49" s="38">
        <f>SUMPRODUCT(('Парк NTE (SAP)'!$B$10:$B$271="Полюс Магадан")*('Парк NTE (SAP)'!$G$10:$G$271&lt;=EOMONTH(A49,0))*('Парк NTE (SAP)'!$I$10:$I$271&gt;=A49))</f>
        <v>18</v>
      </c>
      <c r="H49" s="39">
        <f>E49+F49+G49</f>
        <v>78</v>
      </c>
      <c r="I49" s="36">
        <f>ROUNDUP(E49/$E$4,0)</f>
        <v>6</v>
      </c>
      <c r="J49" s="37">
        <f>ROUNDUP(F49/$E$4,0)</f>
        <v>1</v>
      </c>
      <c r="K49" s="38">
        <f>ROUNDUP(G49/$E$4,0)</f>
        <v>2</v>
      </c>
      <c r="L49" s="14">
        <f>(I49+J49+K49)*$E$5</f>
        <v>9</v>
      </c>
      <c r="M49" s="14">
        <f>(I49+J49+K49)*$E$6</f>
        <v>18</v>
      </c>
      <c r="N49" s="14">
        <f>(I49+J49+K49)*$E$7</f>
        <v>9</v>
      </c>
    </row>
    <row r="50">
      <c r="A50" s="35" t="n">
        <v>46478</v>
      </c>
      <c r="B50" s="10">
        <f>YEAR(A50)</f>
        <v>2027</v>
      </c>
      <c r="C50" s="10">
        <f>COUNTIFS('Парк NTE (SAP)'!$G$10:$G$271,"&gt;="&amp;A50,'Парк NTE (SAP)'!$G$10:$G$271,"&lt;="&amp;EOMONTH(A50,0))</f>
        <v>4</v>
      </c>
      <c r="D50" s="10">
        <f>COUNTIFS('Парк NTE (SAP)'!$I$10:$I$271,"&gt;="&amp;A50,'Парк NTE (SAP)'!$I$10:$I$271,"&lt;="&amp;EOMONTH(A50,0))</f>
        <v>0</v>
      </c>
      <c r="E50" s="36">
        <f>SUMPRODUCT(('Парк NTE (SAP)'!$B$10:$B$271="Полюс Красноярск")*('Парк NTE (SAP)'!$G$10:$G$271&lt;=EOMONTH(A50,0))*('Парк NTE (SAP)'!$I$10:$I$271&gt;=A50))</f>
        <v>51</v>
      </c>
      <c r="F50" s="37">
        <f>SUMPRODUCT(('Парк NTE (SAP)'!$B$10:$B$271="Полюс Сухой Лог")*('Парк NTE (SAP)'!$G$10:$G$271&lt;=EOMONTH(A50,0))*('Парк NTE (SAP)'!$I$10:$I$271&gt;=A50))</f>
        <v>13</v>
      </c>
      <c r="G50" s="38">
        <f>SUMPRODUCT(('Парк NTE (SAP)'!$B$10:$B$271="Полюс Магадан")*('Парк NTE (SAP)'!$G$10:$G$271&lt;=EOMONTH(A50,0))*('Парк NTE (SAP)'!$I$10:$I$271&gt;=A50))</f>
        <v>18</v>
      </c>
      <c r="H50" s="39">
        <f>E50+F50+G50</f>
        <v>82</v>
      </c>
      <c r="I50" s="36">
        <f>ROUNDUP(E50/$E$4,0)</f>
        <v>6</v>
      </c>
      <c r="J50" s="37">
        <f>ROUNDUP(F50/$E$4,0)</f>
        <v>2</v>
      </c>
      <c r="K50" s="38">
        <f>ROUNDUP(G50/$E$4,0)</f>
        <v>2</v>
      </c>
      <c r="L50" s="14">
        <f>(I50+J50+K50)*$E$5</f>
        <v>10</v>
      </c>
      <c r="M50" s="14">
        <f>(I50+J50+K50)*$E$6</f>
        <v>20</v>
      </c>
      <c r="N50" s="14">
        <f>(I50+J50+K50)*$E$7</f>
        <v>10</v>
      </c>
    </row>
    <row r="51">
      <c r="A51" s="35" t="n">
        <v>46508</v>
      </c>
      <c r="B51" s="10">
        <f>YEAR(A51)</f>
        <v>2027</v>
      </c>
      <c r="C51" s="10">
        <f>COUNTIFS('Парк NTE (SAP)'!$G$10:$G$271,"&gt;="&amp;A51,'Парк NTE (SAP)'!$G$10:$G$271,"&lt;="&amp;EOMONTH(A51,0))</f>
        <v>4</v>
      </c>
      <c r="D51" s="10">
        <f>COUNTIFS('Парк NTE (SAP)'!$I$10:$I$271,"&gt;="&amp;A51,'Парк NTE (SAP)'!$I$10:$I$271,"&lt;="&amp;EOMONTH(A51,0))</f>
        <v>0</v>
      </c>
      <c r="E51" s="36">
        <f>SUMPRODUCT(('Парк NTE (SAP)'!$B$10:$B$271="Полюс Красноярск")*('Парк NTE (SAP)'!$G$10:$G$271&lt;=EOMONTH(A51,0))*('Парк NTE (SAP)'!$I$10:$I$271&gt;=A51))</f>
        <v>51</v>
      </c>
      <c r="F51" s="37">
        <f>SUMPRODUCT(('Парк NTE (SAP)'!$B$10:$B$271="Полюс Сухой Лог")*('Парк NTE (SAP)'!$G$10:$G$271&lt;=EOMONTH(A51,0))*('Парк NTE (SAP)'!$I$10:$I$271&gt;=A51))</f>
        <v>17</v>
      </c>
      <c r="G51" s="38">
        <f>SUMPRODUCT(('Парк NTE (SAP)'!$B$10:$B$271="Полюс Магадан")*('Парк NTE (SAP)'!$G$10:$G$271&lt;=EOMONTH(A51,0))*('Парк NTE (SAP)'!$I$10:$I$271&gt;=A51))</f>
        <v>18</v>
      </c>
      <c r="H51" s="39">
        <f>E51+F51+G51</f>
        <v>86</v>
      </c>
      <c r="I51" s="36">
        <f>ROUNDUP(E51/$E$4,0)</f>
        <v>6</v>
      </c>
      <c r="J51" s="37">
        <f>ROUNDUP(F51/$E$4,0)</f>
        <v>2</v>
      </c>
      <c r="K51" s="38">
        <f>ROUNDUP(G51/$E$4,0)</f>
        <v>2</v>
      </c>
      <c r="L51" s="14">
        <f>(I51+J51+K51)*$E$5</f>
        <v>10</v>
      </c>
      <c r="M51" s="14">
        <f>(I51+J51+K51)*$E$6</f>
        <v>20</v>
      </c>
      <c r="N51" s="14">
        <f>(I51+J51+K51)*$E$7</f>
        <v>10</v>
      </c>
    </row>
    <row r="52">
      <c r="A52" s="35" t="n">
        <v>46539</v>
      </c>
      <c r="B52" s="10">
        <f>YEAR(A52)</f>
        <v>2027</v>
      </c>
      <c r="C52" s="10">
        <f>COUNTIFS('Парк NTE (SAP)'!$G$10:$G$271,"&gt;="&amp;A52,'Парк NTE (SAP)'!$G$10:$G$271,"&lt;="&amp;EOMONTH(A52,0))</f>
        <v>4</v>
      </c>
      <c r="D52" s="10">
        <f>COUNTIFS('Парк NTE (SAP)'!$I$10:$I$271,"&gt;="&amp;A52,'Парк NTE (SAP)'!$I$10:$I$271,"&lt;="&amp;EOMONTH(A52,0))</f>
        <v>0</v>
      </c>
      <c r="E52" s="36">
        <f>SUMPRODUCT(('Парк NTE (SAP)'!$B$10:$B$271="Полюс Красноярск")*('Парк NTE (SAP)'!$G$10:$G$271&lt;=EOMONTH(A52,0))*('Парк NTE (SAP)'!$I$10:$I$271&gt;=A52))</f>
        <v>51</v>
      </c>
      <c r="F52" s="37">
        <f>SUMPRODUCT(('Парк NTE (SAP)'!$B$10:$B$271="Полюс Сухой Лог")*('Парк NTE (SAP)'!$G$10:$G$271&lt;=EOMONTH(A52,0))*('Парк NTE (SAP)'!$I$10:$I$271&gt;=A52))</f>
        <v>21</v>
      </c>
      <c r="G52" s="38">
        <f>SUMPRODUCT(('Парк NTE (SAP)'!$B$10:$B$271="Полюс Магадан")*('Парк NTE (SAP)'!$G$10:$G$271&lt;=EOMONTH(A52,0))*('Парк NTE (SAP)'!$I$10:$I$271&gt;=A52))</f>
        <v>18</v>
      </c>
      <c r="H52" s="39">
        <f>E52+F52+G52</f>
        <v>90</v>
      </c>
      <c r="I52" s="36">
        <f>ROUNDUP(E52/$E$4,0)</f>
        <v>6</v>
      </c>
      <c r="J52" s="37">
        <f>ROUNDUP(F52/$E$4,0)</f>
        <v>3</v>
      </c>
      <c r="K52" s="38">
        <f>ROUNDUP(G52/$E$4,0)</f>
        <v>2</v>
      </c>
      <c r="L52" s="14">
        <f>(I52+J52+K52)*$E$5</f>
        <v>11</v>
      </c>
      <c r="M52" s="14">
        <f>(I52+J52+K52)*$E$6</f>
        <v>22</v>
      </c>
      <c r="N52" s="14">
        <f>(I52+J52+K52)*$E$7</f>
        <v>11</v>
      </c>
    </row>
    <row r="53">
      <c r="A53" s="35" t="n">
        <v>46569</v>
      </c>
      <c r="B53" s="10">
        <f>YEAR(A53)</f>
        <v>2027</v>
      </c>
      <c r="C53" s="10">
        <f>COUNTIFS('Парк NTE (SAP)'!$G$10:$G$271,"&gt;="&amp;A53,'Парк NTE (SAP)'!$G$10:$G$271,"&lt;="&amp;EOMONTH(A53,0))</f>
        <v>3</v>
      </c>
      <c r="D53" s="10">
        <f>COUNTIFS('Парк NTE (SAP)'!$I$10:$I$271,"&gt;="&amp;A53,'Парк NTE (SAP)'!$I$10:$I$271,"&lt;="&amp;EOMONTH(A53,0))</f>
        <v>0</v>
      </c>
      <c r="E53" s="36">
        <f>SUMPRODUCT(('Парк NTE (SAP)'!$B$10:$B$271="Полюс Красноярск")*('Парк NTE (SAP)'!$G$10:$G$271&lt;=EOMONTH(A53,0))*('Парк NTE (SAP)'!$I$10:$I$271&gt;=A53))</f>
        <v>51</v>
      </c>
      <c r="F53" s="37">
        <f>SUMPRODUCT(('Парк NTE (SAP)'!$B$10:$B$271="Полюс Сухой Лог")*('Парк NTE (SAP)'!$G$10:$G$271&lt;=EOMONTH(A53,0))*('Парк NTE (SAP)'!$I$10:$I$271&gt;=A53))</f>
        <v>24</v>
      </c>
      <c r="G53" s="38">
        <f>SUMPRODUCT(('Парк NTE (SAP)'!$B$10:$B$271="Полюс Магадан")*('Парк NTE (SAP)'!$G$10:$G$271&lt;=EOMONTH(A53,0))*('Парк NTE (SAP)'!$I$10:$I$271&gt;=A53))</f>
        <v>18</v>
      </c>
      <c r="H53" s="39">
        <f>E53+F53+G53</f>
        <v>93</v>
      </c>
      <c r="I53" s="36">
        <f>ROUNDUP(E53/$E$4,0)</f>
        <v>6</v>
      </c>
      <c r="J53" s="37">
        <f>ROUNDUP(F53/$E$4,0)</f>
        <v>3</v>
      </c>
      <c r="K53" s="38">
        <f>ROUNDUP(G53/$E$4,0)</f>
        <v>2</v>
      </c>
      <c r="L53" s="14">
        <f>(I53+J53+K53)*$E$5</f>
        <v>11</v>
      </c>
      <c r="M53" s="14">
        <f>(I53+J53+K53)*$E$6</f>
        <v>22</v>
      </c>
      <c r="N53" s="14">
        <f>(I53+J53+K53)*$E$7</f>
        <v>11</v>
      </c>
    </row>
    <row r="54">
      <c r="A54" s="35" t="n">
        <v>46600</v>
      </c>
      <c r="B54" s="10">
        <f>YEAR(A54)</f>
        <v>2027</v>
      </c>
      <c r="C54" s="10">
        <f>COUNTIFS('Парк NTE (SAP)'!$G$10:$G$271,"&gt;="&amp;A54,'Парк NTE (SAP)'!$G$10:$G$271,"&lt;="&amp;EOMONTH(A54,0))</f>
        <v>5</v>
      </c>
      <c r="D54" s="10">
        <f>COUNTIFS('Парк NTE (SAP)'!$I$10:$I$271,"&gt;="&amp;A54,'Парк NTE (SAP)'!$I$10:$I$271,"&lt;="&amp;EOMONTH(A54,0))</f>
        <v>0</v>
      </c>
      <c r="E54" s="36">
        <f>SUMPRODUCT(('Парк NTE (SAP)'!$B$10:$B$271="Полюс Красноярск")*('Парк NTE (SAP)'!$G$10:$G$271&lt;=EOMONTH(A54,0))*('Парк NTE (SAP)'!$I$10:$I$271&gt;=A54))</f>
        <v>51</v>
      </c>
      <c r="F54" s="37">
        <f>SUMPRODUCT(('Парк NTE (SAP)'!$B$10:$B$271="Полюс Сухой Лог")*('Парк NTE (SAP)'!$G$10:$G$271&lt;=EOMONTH(A54,0))*('Парк NTE (SAP)'!$I$10:$I$271&gt;=A54))</f>
        <v>28</v>
      </c>
      <c r="G54" s="38">
        <f>SUMPRODUCT(('Парк NTE (SAP)'!$B$10:$B$271="Полюс Магадан")*('Парк NTE (SAP)'!$G$10:$G$271&lt;=EOMONTH(A54,0))*('Парк NTE (SAP)'!$I$10:$I$271&gt;=A54))</f>
        <v>19</v>
      </c>
      <c r="H54" s="39">
        <f>E54+F54+G54</f>
        <v>98</v>
      </c>
      <c r="I54" s="36">
        <f>ROUNDUP(E54/$E$4,0)</f>
        <v>6</v>
      </c>
      <c r="J54" s="37">
        <f>ROUNDUP(F54/$E$4,0)</f>
        <v>3</v>
      </c>
      <c r="K54" s="38">
        <f>ROUNDUP(G54/$E$4,0)</f>
        <v>2</v>
      </c>
      <c r="L54" s="14">
        <f>(I54+J54+K54)*$E$5</f>
        <v>11</v>
      </c>
      <c r="M54" s="14">
        <f>(I54+J54+K54)*$E$6</f>
        <v>22</v>
      </c>
      <c r="N54" s="14">
        <f>(I54+J54+K54)*$E$7</f>
        <v>11</v>
      </c>
    </row>
    <row r="55">
      <c r="A55" s="35" t="n">
        <v>46631</v>
      </c>
      <c r="B55" s="10">
        <f>YEAR(A55)</f>
        <v>2027</v>
      </c>
      <c r="C55" s="10">
        <f>COUNTIFS('Парк NTE (SAP)'!$G$10:$G$271,"&gt;="&amp;A55,'Парк NTE (SAP)'!$G$10:$G$271,"&lt;="&amp;EOMONTH(A55,0))</f>
        <v>4</v>
      </c>
      <c r="D55" s="10">
        <f>COUNTIFS('Парк NTE (SAP)'!$I$10:$I$271,"&gt;="&amp;A55,'Парк NTE (SAP)'!$I$10:$I$271,"&lt;="&amp;EOMONTH(A55,0))</f>
        <v>0</v>
      </c>
      <c r="E55" s="36">
        <f>SUMPRODUCT(('Парк NTE (SAP)'!$B$10:$B$271="Полюс Красноярск")*('Парк NTE (SAP)'!$G$10:$G$271&lt;=EOMONTH(A55,0))*('Парк NTE (SAP)'!$I$10:$I$271&gt;=A55))</f>
        <v>51</v>
      </c>
      <c r="F55" s="37">
        <f>SUMPRODUCT(('Парк NTE (SAP)'!$B$10:$B$271="Полюс Сухой Лог")*('Парк NTE (SAP)'!$G$10:$G$271&lt;=EOMONTH(A55,0))*('Парк NTE (SAP)'!$I$10:$I$271&gt;=A55))</f>
        <v>32</v>
      </c>
      <c r="G55" s="38">
        <f>SUMPRODUCT(('Парк NTE (SAP)'!$B$10:$B$271="Полюс Магадан")*('Парк NTE (SAP)'!$G$10:$G$271&lt;=EOMONTH(A55,0))*('Парк NTE (SAP)'!$I$10:$I$271&gt;=A55))</f>
        <v>19</v>
      </c>
      <c r="H55" s="39">
        <f>E55+F55+G55</f>
        <v>102</v>
      </c>
      <c r="I55" s="36">
        <f>ROUNDUP(E55/$E$4,0)</f>
        <v>6</v>
      </c>
      <c r="J55" s="37">
        <f>ROUNDUP(F55/$E$4,0)</f>
        <v>4</v>
      </c>
      <c r="K55" s="38">
        <f>ROUNDUP(G55/$E$4,0)</f>
        <v>2</v>
      </c>
      <c r="L55" s="14">
        <f>(I55+J55+K55)*$E$5</f>
        <v>12</v>
      </c>
      <c r="M55" s="14">
        <f>(I55+J55+K55)*$E$6</f>
        <v>24</v>
      </c>
      <c r="N55" s="14">
        <f>(I55+J55+K55)*$E$7</f>
        <v>12</v>
      </c>
    </row>
    <row r="56">
      <c r="A56" s="35" t="n">
        <v>46661</v>
      </c>
      <c r="B56" s="10">
        <f>YEAR(A56)</f>
        <v>2027</v>
      </c>
      <c r="C56" s="10">
        <f>COUNTIFS('Парк NTE (SAP)'!$G$10:$G$271,"&gt;="&amp;A56,'Парк NTE (SAP)'!$G$10:$G$271,"&lt;="&amp;EOMONTH(A56,0))</f>
        <v>4</v>
      </c>
      <c r="D56" s="10">
        <f>COUNTIFS('Парк NTE (SAP)'!$I$10:$I$271,"&gt;="&amp;A56,'Парк NTE (SAP)'!$I$10:$I$271,"&lt;="&amp;EOMONTH(A56,0))</f>
        <v>7</v>
      </c>
      <c r="E56" s="36">
        <f>SUMPRODUCT(('Парк NTE (SAP)'!$B$10:$B$271="Полюс Красноярск")*('Парк NTE (SAP)'!$G$10:$G$271&lt;=EOMONTH(A56,0))*('Парк NTE (SAP)'!$I$10:$I$271&gt;=A56))</f>
        <v>51</v>
      </c>
      <c r="F56" s="37">
        <f>SUMPRODUCT(('Парк NTE (SAP)'!$B$10:$B$271="Полюс Сухой Лог")*('Парк NTE (SAP)'!$G$10:$G$271&lt;=EOMONTH(A56,0))*('Парк NTE (SAP)'!$I$10:$I$271&gt;=A56))</f>
        <v>36</v>
      </c>
      <c r="G56" s="38">
        <f>SUMPRODUCT(('Парк NTE (SAP)'!$B$10:$B$271="Полюс Магадан")*('Парк NTE (SAP)'!$G$10:$G$271&lt;=EOMONTH(A56,0))*('Парк NTE (SAP)'!$I$10:$I$271&gt;=A56))</f>
        <v>19</v>
      </c>
      <c r="H56" s="39">
        <f>E56+F56+G56</f>
        <v>106</v>
      </c>
      <c r="I56" s="36">
        <f>ROUNDUP(E56/$E$4,0)</f>
        <v>6</v>
      </c>
      <c r="J56" s="37">
        <f>ROUNDUP(F56/$E$4,0)</f>
        <v>4</v>
      </c>
      <c r="K56" s="38">
        <f>ROUNDUP(G56/$E$4,0)</f>
        <v>2</v>
      </c>
      <c r="L56" s="14">
        <f>(I56+J56+K56)*$E$5</f>
        <v>12</v>
      </c>
      <c r="M56" s="14">
        <f>(I56+J56+K56)*$E$6</f>
        <v>24</v>
      </c>
      <c r="N56" s="14">
        <f>(I56+J56+K56)*$E$7</f>
        <v>12</v>
      </c>
    </row>
    <row r="57">
      <c r="A57" s="35" t="n">
        <v>46692</v>
      </c>
      <c r="B57" s="10">
        <f>YEAR(A57)</f>
        <v>2027</v>
      </c>
      <c r="C57" s="10">
        <f>COUNTIFS('Парк NTE (SAP)'!$G$10:$G$271,"&gt;="&amp;A57,'Парк NTE (SAP)'!$G$10:$G$271,"&lt;="&amp;EOMONTH(A57,0))</f>
        <v>4</v>
      </c>
      <c r="D57" s="10">
        <f>COUNTIFS('Парк NTE (SAP)'!$I$10:$I$271,"&gt;="&amp;A57,'Парк NTE (SAP)'!$I$10:$I$271,"&lt;="&amp;EOMONTH(A57,0))</f>
        <v>1</v>
      </c>
      <c r="E57" s="36">
        <f>SUMPRODUCT(('Парк NTE (SAP)'!$B$10:$B$271="Полюс Красноярск")*('Парк NTE (SAP)'!$G$10:$G$271&lt;=EOMONTH(A57,0))*('Парк NTE (SAP)'!$I$10:$I$271&gt;=A57))</f>
        <v>47</v>
      </c>
      <c r="F57" s="37">
        <f>SUMPRODUCT(('Парк NTE (SAP)'!$B$10:$B$271="Полюс Сухой Лог")*('Парк NTE (SAP)'!$G$10:$G$271&lt;=EOMONTH(A57,0))*('Парк NTE (SAP)'!$I$10:$I$271&gt;=A57))</f>
        <v>40</v>
      </c>
      <c r="G57" s="38">
        <f>SUMPRODUCT(('Парк NTE (SAP)'!$B$10:$B$271="Полюс Магадан")*('Парк NTE (SAP)'!$G$10:$G$271&lt;=EOMONTH(A57,0))*('Парк NTE (SAP)'!$I$10:$I$271&gt;=A57))</f>
        <v>16</v>
      </c>
      <c r="H57" s="39">
        <f>E57+F57+G57</f>
        <v>103</v>
      </c>
      <c r="I57" s="36">
        <f>ROUNDUP(E57/$E$4,0)</f>
        <v>5</v>
      </c>
      <c r="J57" s="37">
        <f>ROUNDUP(F57/$E$4,0)</f>
        <v>4</v>
      </c>
      <c r="K57" s="38">
        <f>ROUNDUP(G57/$E$4,0)</f>
        <v>2</v>
      </c>
      <c r="L57" s="14">
        <f>(I57+J57+K57)*$E$5</f>
        <v>11</v>
      </c>
      <c r="M57" s="14">
        <f>(I57+J57+K57)*$E$6</f>
        <v>22</v>
      </c>
      <c r="N57" s="14">
        <f>(I57+J57+K57)*$E$7</f>
        <v>11</v>
      </c>
    </row>
    <row r="58">
      <c r="A58" s="35" t="n">
        <v>46722</v>
      </c>
      <c r="B58" s="10">
        <f>YEAR(A58)</f>
        <v>2027</v>
      </c>
      <c r="C58" s="10">
        <f>COUNTIFS('Парк NTE (SAP)'!$G$10:$G$271,"&gt;="&amp;A58,'Парк NTE (SAP)'!$G$10:$G$271,"&lt;="&amp;EOMONTH(A58,0))</f>
        <v>4</v>
      </c>
      <c r="D58" s="10">
        <f>COUNTIFS('Парк NTE (SAP)'!$I$10:$I$271,"&gt;="&amp;A58,'Парк NTE (SAP)'!$I$10:$I$271,"&lt;="&amp;EOMONTH(A58,0))</f>
        <v>7</v>
      </c>
      <c r="E58" s="36">
        <f>SUMPRODUCT(('Парк NTE (SAP)'!$B$10:$B$271="Полюс Красноярск")*('Парк NTE (SAP)'!$G$10:$G$271&lt;=EOMONTH(A58,0))*('Парк NTE (SAP)'!$I$10:$I$271&gt;=A58))</f>
        <v>47</v>
      </c>
      <c r="F58" s="37">
        <f>SUMPRODUCT(('Парк NTE (SAP)'!$B$10:$B$271="Полюс Сухой Лог")*('Парк NTE (SAP)'!$G$10:$G$271&lt;=EOMONTH(A58,0))*('Парк NTE (SAP)'!$I$10:$I$271&gt;=A58))</f>
        <v>44</v>
      </c>
      <c r="G58" s="38">
        <f>SUMPRODUCT(('Парк NTE (SAP)'!$B$10:$B$271="Полюс Магадан")*('Парк NTE (SAP)'!$G$10:$G$271&lt;=EOMONTH(A58,0))*('Парк NTE (SAP)'!$I$10:$I$271&gt;=A58))</f>
        <v>15</v>
      </c>
      <c r="H58" s="39">
        <f>E58+F58+G58</f>
        <v>106</v>
      </c>
      <c r="I58" s="36">
        <f>ROUNDUP(E58/$E$4,0)</f>
        <v>5</v>
      </c>
      <c r="J58" s="37">
        <f>ROUNDUP(F58/$E$4,0)</f>
        <v>5</v>
      </c>
      <c r="K58" s="38">
        <f>ROUNDUP(G58/$E$4,0)</f>
        <v>2</v>
      </c>
      <c r="L58" s="14">
        <f>(I58+J58+K58)*$E$5</f>
        <v>12</v>
      </c>
      <c r="M58" s="14">
        <f>(I58+J58+K58)*$E$6</f>
        <v>24</v>
      </c>
      <c r="N58" s="14">
        <f>(I58+J58+K58)*$E$7</f>
        <v>12</v>
      </c>
    </row>
    <row r="59">
      <c r="A59" s="35" t="n">
        <v>46753</v>
      </c>
      <c r="B59" s="10">
        <f>YEAR(A59)</f>
        <v>2028</v>
      </c>
      <c r="C59" s="10">
        <f>COUNTIFS('Парк NTE (SAP)'!$G$10:$G$271,"&gt;="&amp;A59,'Парк NTE (SAP)'!$G$10:$G$271,"&lt;="&amp;EOMONTH(A59,0))</f>
        <v>3</v>
      </c>
      <c r="D59" s="10">
        <f>COUNTIFS('Парк NTE (SAP)'!$I$10:$I$271,"&gt;="&amp;A59,'Парк NTE (SAP)'!$I$10:$I$271,"&lt;="&amp;EOMONTH(A59,0))</f>
        <v>0</v>
      </c>
      <c r="E59" s="36">
        <f>SUMPRODUCT(('Парк NTE (SAP)'!$B$10:$B$271="Полюс Красноярск")*('Парк NTE (SAP)'!$G$10:$G$271&lt;=EOMONTH(A59,0))*('Парк NTE (SAP)'!$I$10:$I$271&gt;=A59))</f>
        <v>47</v>
      </c>
      <c r="F59" s="37">
        <f>SUMPRODUCT(('Парк NTE (SAP)'!$B$10:$B$271="Полюс Сухой Лог")*('Парк NTE (SAP)'!$G$10:$G$271&lt;=EOMONTH(A59,0))*('Парк NTE (SAP)'!$I$10:$I$271&gt;=A59))</f>
        <v>47</v>
      </c>
      <c r="G59" s="38">
        <f>SUMPRODUCT(('Парк NTE (SAP)'!$B$10:$B$271="Полюс Магадан")*('Парк NTE (SAP)'!$G$10:$G$271&lt;=EOMONTH(A59,0))*('Парк NTE (SAP)'!$I$10:$I$271&gt;=A59))</f>
        <v>8</v>
      </c>
      <c r="H59" s="39">
        <f>E59+F59+G59</f>
        <v>102</v>
      </c>
      <c r="I59" s="36">
        <f>ROUNDUP(E59/$E$4,0)</f>
        <v>5</v>
      </c>
      <c r="J59" s="37">
        <f>ROUNDUP(F59/$E$4,0)</f>
        <v>5</v>
      </c>
      <c r="K59" s="38">
        <f>ROUNDUP(G59/$E$4,0)</f>
        <v>1</v>
      </c>
      <c r="L59" s="14">
        <f>(I59+J59+K59)*$E$5</f>
        <v>11</v>
      </c>
      <c r="M59" s="14">
        <f>(I59+J59+K59)*$E$6</f>
        <v>22</v>
      </c>
      <c r="N59" s="14">
        <f>(I59+J59+K59)*$E$7</f>
        <v>11</v>
      </c>
    </row>
    <row r="60">
      <c r="A60" s="35" t="n">
        <v>46784</v>
      </c>
      <c r="B60" s="10">
        <f>YEAR(A60)</f>
        <v>2028</v>
      </c>
      <c r="C60" s="10">
        <f>COUNTIFS('Парк NTE (SAP)'!$G$10:$G$271,"&gt;="&amp;A60,'Парк NTE (SAP)'!$G$10:$G$271,"&lt;="&amp;EOMONTH(A60,0))</f>
        <v>3</v>
      </c>
      <c r="D60" s="10">
        <f>COUNTIFS('Парк NTE (SAP)'!$I$10:$I$271,"&gt;="&amp;A60,'Парк NTE (SAP)'!$I$10:$I$271,"&lt;="&amp;EOMONTH(A60,0))</f>
        <v>6</v>
      </c>
      <c r="E60" s="36">
        <f>SUMPRODUCT(('Парк NTE (SAP)'!$B$10:$B$271="Полюс Красноярск")*('Парк NTE (SAP)'!$G$10:$G$271&lt;=EOMONTH(A60,0))*('Парк NTE (SAP)'!$I$10:$I$271&gt;=A60))</f>
        <v>47</v>
      </c>
      <c r="F60" s="37">
        <f>SUMPRODUCT(('Парк NTE (SAP)'!$B$10:$B$271="Полюс Сухой Лог")*('Парк NTE (SAP)'!$G$10:$G$271&lt;=EOMONTH(A60,0))*('Парк NTE (SAP)'!$I$10:$I$271&gt;=A60))</f>
        <v>50</v>
      </c>
      <c r="G60" s="38">
        <f>SUMPRODUCT(('Парк NTE (SAP)'!$B$10:$B$271="Полюс Магадан")*('Парк NTE (SAP)'!$G$10:$G$271&lt;=EOMONTH(A60,0))*('Парк NTE (SAP)'!$I$10:$I$271&gt;=A60))</f>
        <v>8</v>
      </c>
      <c r="H60" s="39">
        <f>E60+F60+G60</f>
        <v>105</v>
      </c>
      <c r="I60" s="36">
        <f>ROUNDUP(E60/$E$4,0)</f>
        <v>5</v>
      </c>
      <c r="J60" s="37">
        <f>ROUNDUP(F60/$E$4,0)</f>
        <v>5</v>
      </c>
      <c r="K60" s="38">
        <f>ROUNDUP(G60/$E$4,0)</f>
        <v>1</v>
      </c>
      <c r="L60" s="14">
        <f>(I60+J60+K60)*$E$5</f>
        <v>11</v>
      </c>
      <c r="M60" s="14">
        <f>(I60+J60+K60)*$E$6</f>
        <v>22</v>
      </c>
      <c r="N60" s="14">
        <f>(I60+J60+K60)*$E$7</f>
        <v>11</v>
      </c>
    </row>
    <row r="61">
      <c r="A61" s="35" t="n">
        <v>46813</v>
      </c>
      <c r="B61" s="10">
        <f>YEAR(A61)</f>
        <v>2028</v>
      </c>
      <c r="C61" s="10">
        <f>COUNTIFS('Парк NTE (SAP)'!$G$10:$G$271,"&gt;="&amp;A61,'Парк NTE (SAP)'!$G$10:$G$271,"&lt;="&amp;EOMONTH(A61,0))</f>
        <v>3</v>
      </c>
      <c r="D61" s="10">
        <f>COUNTIFS('Парк NTE (SAP)'!$I$10:$I$271,"&gt;="&amp;A61,'Парк NTE (SAP)'!$I$10:$I$271,"&lt;="&amp;EOMONTH(A61,0))</f>
        <v>8</v>
      </c>
      <c r="E61" s="36">
        <f>SUMPRODUCT(('Парк NTE (SAP)'!$B$10:$B$271="Полюс Красноярск")*('Парк NTE (SAP)'!$G$10:$G$271&lt;=EOMONTH(A61,0))*('Парк NTE (SAP)'!$I$10:$I$271&gt;=A61))</f>
        <v>41</v>
      </c>
      <c r="F61" s="37">
        <f>SUMPRODUCT(('Парк NTE (SAP)'!$B$10:$B$271="Полюс Сухой Лог")*('Парк NTE (SAP)'!$G$10:$G$271&lt;=EOMONTH(A61,0))*('Парк NTE (SAP)'!$I$10:$I$271&gt;=A61))</f>
        <v>53</v>
      </c>
      <c r="G61" s="38">
        <f>SUMPRODUCT(('Парк NTE (SAP)'!$B$10:$B$271="Полюс Магадан")*('Парк NTE (SAP)'!$G$10:$G$271&lt;=EOMONTH(A61,0))*('Парк NTE (SAP)'!$I$10:$I$271&gt;=A61))</f>
        <v>8</v>
      </c>
      <c r="H61" s="39">
        <f>E61+F61+G61</f>
        <v>102</v>
      </c>
      <c r="I61" s="36">
        <f>ROUNDUP(E61/$E$4,0)</f>
        <v>5</v>
      </c>
      <c r="J61" s="37">
        <f>ROUNDUP(F61/$E$4,0)</f>
        <v>6</v>
      </c>
      <c r="K61" s="38">
        <f>ROUNDUP(G61/$E$4,0)</f>
        <v>1</v>
      </c>
      <c r="L61" s="14">
        <f>(I61+J61+K61)*$E$5</f>
        <v>12</v>
      </c>
      <c r="M61" s="14">
        <f>(I61+J61+K61)*$E$6</f>
        <v>24</v>
      </c>
      <c r="N61" s="14">
        <f>(I61+J61+K61)*$E$7</f>
        <v>12</v>
      </c>
    </row>
    <row r="62">
      <c r="A62" s="35" t="n">
        <v>46844</v>
      </c>
      <c r="B62" s="10">
        <f>YEAR(A62)</f>
        <v>2028</v>
      </c>
      <c r="C62" s="10">
        <f>COUNTIFS('Парк NTE (SAP)'!$G$10:$G$271,"&gt;="&amp;A62,'Парк NTE (SAP)'!$G$10:$G$271,"&lt;="&amp;EOMONTH(A62,0))</f>
        <v>4</v>
      </c>
      <c r="D62" s="10">
        <f>COUNTIFS('Парк NTE (SAP)'!$I$10:$I$271,"&gt;="&amp;A62,'Парк NTE (SAP)'!$I$10:$I$271,"&lt;="&amp;EOMONTH(A62,0))</f>
        <v>6</v>
      </c>
      <c r="E62" s="36">
        <f>SUMPRODUCT(('Парк NTE (SAP)'!$B$10:$B$271="Полюс Красноярск")*('Парк NTE (SAP)'!$G$10:$G$271&lt;=EOMONTH(A62,0))*('Парк NTE (SAP)'!$I$10:$I$271&gt;=A62))</f>
        <v>33</v>
      </c>
      <c r="F62" s="37">
        <f>SUMPRODUCT(('Парк NTE (SAP)'!$B$10:$B$271="Полюс Сухой Лог")*('Парк NTE (SAP)'!$G$10:$G$271&lt;=EOMONTH(A62,0))*('Парк NTE (SAP)'!$I$10:$I$271&gt;=A62))</f>
        <v>57</v>
      </c>
      <c r="G62" s="38">
        <f>SUMPRODUCT(('Парк NTE (SAP)'!$B$10:$B$271="Полюс Магадан")*('Парк NTE (SAP)'!$G$10:$G$271&lt;=EOMONTH(A62,0))*('Парк NTE (SAP)'!$I$10:$I$271&gt;=A62))</f>
        <v>8</v>
      </c>
      <c r="H62" s="39">
        <f>E62+F62+G62</f>
        <v>98</v>
      </c>
      <c r="I62" s="36">
        <f>ROUNDUP(E62/$E$4,0)</f>
        <v>4</v>
      </c>
      <c r="J62" s="37">
        <f>ROUNDUP(F62/$E$4,0)</f>
        <v>6</v>
      </c>
      <c r="K62" s="38">
        <f>ROUNDUP(G62/$E$4,0)</f>
        <v>1</v>
      </c>
      <c r="L62" s="14">
        <f>(I62+J62+K62)*$E$5</f>
        <v>11</v>
      </c>
      <c r="M62" s="14">
        <f>(I62+J62+K62)*$E$6</f>
        <v>22</v>
      </c>
      <c r="N62" s="14">
        <f>(I62+J62+K62)*$E$7</f>
        <v>11</v>
      </c>
    </row>
    <row r="63">
      <c r="A63" s="35" t="n">
        <v>46874</v>
      </c>
      <c r="B63" s="10">
        <f>YEAR(A63)</f>
        <v>2028</v>
      </c>
      <c r="C63" s="10">
        <f>COUNTIFS('Парк NTE (SAP)'!$G$10:$G$271,"&gt;="&amp;A63,'Парк NTE (SAP)'!$G$10:$G$271,"&lt;="&amp;EOMONTH(A63,0))</f>
        <v>4</v>
      </c>
      <c r="D63" s="10">
        <f>COUNTIFS('Парк NTE (SAP)'!$I$10:$I$271,"&gt;="&amp;A63,'Парк NTE (SAP)'!$I$10:$I$271,"&lt;="&amp;EOMONTH(A63,0))</f>
        <v>5</v>
      </c>
      <c r="E63" s="36">
        <f>SUMPRODUCT(('Парк NTE (SAP)'!$B$10:$B$271="Полюс Красноярск")*('Парк NTE (SAP)'!$G$10:$G$271&lt;=EOMONTH(A63,0))*('Парк NTE (SAP)'!$I$10:$I$271&gt;=A63))</f>
        <v>27</v>
      </c>
      <c r="F63" s="37">
        <f>SUMPRODUCT(('Парк NTE (SAP)'!$B$10:$B$271="Полюс Сухой Лог")*('Парк NTE (SAP)'!$G$10:$G$271&lt;=EOMONTH(A63,0))*('Парк NTE (SAP)'!$I$10:$I$271&gt;=A63))</f>
        <v>61</v>
      </c>
      <c r="G63" s="38">
        <f>SUMPRODUCT(('Парк NTE (SAP)'!$B$10:$B$271="Полюс Магадан")*('Парк NTE (SAP)'!$G$10:$G$271&lt;=EOMONTH(A63,0))*('Парк NTE (SAP)'!$I$10:$I$271&gt;=A63))</f>
        <v>8</v>
      </c>
      <c r="H63" s="39">
        <f>E63+F63+G63</f>
        <v>96</v>
      </c>
      <c r="I63" s="36">
        <f>ROUNDUP(E63/$E$4,0)</f>
        <v>3</v>
      </c>
      <c r="J63" s="37">
        <f>ROUNDUP(F63/$E$4,0)</f>
        <v>7</v>
      </c>
      <c r="K63" s="38">
        <f>ROUNDUP(G63/$E$4,0)</f>
        <v>1</v>
      </c>
      <c r="L63" s="14">
        <f>(I63+J63+K63)*$E$5</f>
        <v>11</v>
      </c>
      <c r="M63" s="14">
        <f>(I63+J63+K63)*$E$6</f>
        <v>22</v>
      </c>
      <c r="N63" s="14">
        <f>(I63+J63+K63)*$E$7</f>
        <v>11</v>
      </c>
    </row>
    <row r="64">
      <c r="A64" s="35" t="n">
        <v>46905</v>
      </c>
      <c r="B64" s="10">
        <f>YEAR(A64)</f>
        <v>2028</v>
      </c>
      <c r="C64" s="10">
        <f>COUNTIFS('Парк NTE (SAP)'!$G$10:$G$271,"&gt;="&amp;A64,'Парк NTE (SAP)'!$G$10:$G$271,"&lt;="&amp;EOMONTH(A64,0))</f>
        <v>4</v>
      </c>
      <c r="D64" s="10">
        <f>COUNTIFS('Парк NTE (SAP)'!$I$10:$I$271,"&gt;="&amp;A64,'Парк NTE (SAP)'!$I$10:$I$271,"&lt;="&amp;EOMONTH(A64,0))</f>
        <v>6</v>
      </c>
      <c r="E64" s="36">
        <f>SUMPRODUCT(('Парк NTE (SAP)'!$B$10:$B$271="Полюс Красноярск")*('Парк NTE (SAP)'!$G$10:$G$271&lt;=EOMONTH(A64,0))*('Парк NTE (SAP)'!$I$10:$I$271&gt;=A64))</f>
        <v>22</v>
      </c>
      <c r="F64" s="37">
        <f>SUMPRODUCT(('Парк NTE (SAP)'!$B$10:$B$271="Полюс Сухой Лог")*('Парк NTE (SAP)'!$G$10:$G$271&lt;=EOMONTH(A64,0))*('Парк NTE (SAP)'!$I$10:$I$271&gt;=A64))</f>
        <v>65</v>
      </c>
      <c r="G64" s="38">
        <f>SUMPRODUCT(('Парк NTE (SAP)'!$B$10:$B$271="Полюс Магадан")*('Парк NTE (SAP)'!$G$10:$G$271&lt;=EOMONTH(A64,0))*('Парк NTE (SAP)'!$I$10:$I$271&gt;=A64))</f>
        <v>8</v>
      </c>
      <c r="H64" s="39">
        <f>E64+F64+G64</f>
        <v>95</v>
      </c>
      <c r="I64" s="36">
        <f>ROUNDUP(E64/$E$4,0)</f>
        <v>3</v>
      </c>
      <c r="J64" s="37">
        <f>ROUNDUP(F64/$E$4,0)</f>
        <v>7</v>
      </c>
      <c r="K64" s="38">
        <f>ROUNDUP(G64/$E$4,0)</f>
        <v>1</v>
      </c>
      <c r="L64" s="14">
        <f>(I64+J64+K64)*$E$5</f>
        <v>11</v>
      </c>
      <c r="M64" s="14">
        <f>(I64+J64+K64)*$E$6</f>
        <v>22</v>
      </c>
      <c r="N64" s="14">
        <f>(I64+J64+K64)*$E$7</f>
        <v>11</v>
      </c>
    </row>
    <row r="65">
      <c r="A65" s="35" t="n">
        <v>46935</v>
      </c>
      <c r="B65" s="10">
        <f>YEAR(A65)</f>
        <v>2028</v>
      </c>
      <c r="C65" s="10">
        <f>COUNTIFS('Парк NTE (SAP)'!$G$10:$G$271,"&gt;="&amp;A65,'Парк NTE (SAP)'!$G$10:$G$271,"&lt;="&amp;EOMONTH(A65,0))</f>
        <v>3</v>
      </c>
      <c r="D65" s="10">
        <f>COUNTIFS('Парк NTE (SAP)'!$I$10:$I$271,"&gt;="&amp;A65,'Парк NTE (SAP)'!$I$10:$I$271,"&lt;="&amp;EOMONTH(A65,0))</f>
        <v>2</v>
      </c>
      <c r="E65" s="36">
        <f>SUMPRODUCT(('Парк NTE (SAP)'!$B$10:$B$271="Полюс Красноярск")*('Парк NTE (SAP)'!$G$10:$G$271&lt;=EOMONTH(A65,0))*('Парк NTE (SAP)'!$I$10:$I$271&gt;=A65))</f>
        <v>16</v>
      </c>
      <c r="F65" s="37">
        <f>SUMPRODUCT(('Парк NTE (SAP)'!$B$10:$B$271="Полюс Сухой Лог")*('Парк NTE (SAP)'!$G$10:$G$271&lt;=EOMONTH(A65,0))*('Парк NTE (SAP)'!$I$10:$I$271&gt;=A65))</f>
        <v>68</v>
      </c>
      <c r="G65" s="38">
        <f>SUMPRODUCT(('Парк NTE (SAP)'!$B$10:$B$271="Полюс Магадан")*('Парк NTE (SAP)'!$G$10:$G$271&lt;=EOMONTH(A65,0))*('Парк NTE (SAP)'!$I$10:$I$271&gt;=A65))</f>
        <v>8</v>
      </c>
      <c r="H65" s="39">
        <f>E65+F65+G65</f>
        <v>92</v>
      </c>
      <c r="I65" s="36">
        <f>ROUNDUP(E65/$E$4,0)</f>
        <v>2</v>
      </c>
      <c r="J65" s="37">
        <f>ROUNDUP(F65/$E$4,0)</f>
        <v>7</v>
      </c>
      <c r="K65" s="38">
        <f>ROUNDUP(G65/$E$4,0)</f>
        <v>1</v>
      </c>
      <c r="L65" s="14">
        <f>(I65+J65+K65)*$E$5</f>
        <v>10</v>
      </c>
      <c r="M65" s="14">
        <f>(I65+J65+K65)*$E$6</f>
        <v>20</v>
      </c>
      <c r="N65" s="14">
        <f>(I65+J65+K65)*$E$7</f>
        <v>10</v>
      </c>
    </row>
    <row r="66">
      <c r="A66" s="35" t="n">
        <v>46966</v>
      </c>
      <c r="B66" s="10">
        <f>YEAR(A66)</f>
        <v>2028</v>
      </c>
      <c r="C66" s="10">
        <f>COUNTIFS('Парк NTE (SAP)'!$G$10:$G$271,"&gt;="&amp;A66,'Парк NTE (SAP)'!$G$10:$G$271,"&lt;="&amp;EOMONTH(A66,0))</f>
        <v>1</v>
      </c>
      <c r="D66" s="10">
        <f>COUNTIFS('Парк NTE (SAP)'!$I$10:$I$271,"&gt;="&amp;A66,'Парк NTE (SAP)'!$I$10:$I$271,"&lt;="&amp;EOMONTH(A66,0))</f>
        <v>0</v>
      </c>
      <c r="E66" s="36">
        <f>SUMPRODUCT(('Парк NTE (SAP)'!$B$10:$B$271="Полюс Красноярск")*('Парк NTE (SAP)'!$G$10:$G$271&lt;=EOMONTH(A66,0))*('Парк NTE (SAP)'!$I$10:$I$271&gt;=A66))</f>
        <v>14</v>
      </c>
      <c r="F66" s="37">
        <f>SUMPRODUCT(('Парк NTE (SAP)'!$B$10:$B$271="Полюс Сухой Лог")*('Парк NTE (SAP)'!$G$10:$G$271&lt;=EOMONTH(A66,0))*('Парк NTE (SAP)'!$I$10:$I$271&gt;=A66))</f>
        <v>69</v>
      </c>
      <c r="G66" s="38">
        <f>SUMPRODUCT(('Парк NTE (SAP)'!$B$10:$B$271="Полюс Магадан")*('Парк NTE (SAP)'!$G$10:$G$271&lt;=EOMONTH(A66,0))*('Парк NTE (SAP)'!$I$10:$I$271&gt;=A66))</f>
        <v>8</v>
      </c>
      <c r="H66" s="39">
        <f>E66+F66+G66</f>
        <v>91</v>
      </c>
      <c r="I66" s="36">
        <f>ROUNDUP(E66/$E$4,0)</f>
        <v>2</v>
      </c>
      <c r="J66" s="37">
        <f>ROUNDUP(F66/$E$4,0)</f>
        <v>7</v>
      </c>
      <c r="K66" s="38">
        <f>ROUNDUP(G66/$E$4,0)</f>
        <v>1</v>
      </c>
      <c r="L66" s="14">
        <f>(I66+J66+K66)*$E$5</f>
        <v>10</v>
      </c>
      <c r="M66" s="14">
        <f>(I66+J66+K66)*$E$6</f>
        <v>20</v>
      </c>
      <c r="N66" s="14">
        <f>(I66+J66+K66)*$E$7</f>
        <v>10</v>
      </c>
    </row>
    <row r="67">
      <c r="A67" s="35" t="n">
        <v>46997</v>
      </c>
      <c r="B67" s="10">
        <f>YEAR(A67)</f>
        <v>2028</v>
      </c>
      <c r="C67" s="10">
        <f>COUNTIFS('Парк NTE (SAP)'!$G$10:$G$271,"&gt;="&amp;A67,'Парк NTE (SAP)'!$G$10:$G$271,"&lt;="&amp;EOMONTH(A67,0))</f>
        <v>1</v>
      </c>
      <c r="D67" s="10">
        <f>COUNTIFS('Парк NTE (SAP)'!$I$10:$I$271,"&gt;="&amp;A67,'Парк NTE (SAP)'!$I$10:$I$271,"&lt;="&amp;EOMONTH(A67,0))</f>
        <v>3</v>
      </c>
      <c r="E67" s="36">
        <f>SUMPRODUCT(('Парк NTE (SAP)'!$B$10:$B$271="Полюс Красноярск")*('Парк NTE (SAP)'!$G$10:$G$271&lt;=EOMONTH(A67,0))*('Парк NTE (SAP)'!$I$10:$I$271&gt;=A67))</f>
        <v>14</v>
      </c>
      <c r="F67" s="37">
        <f>SUMPRODUCT(('Парк NTE (SAP)'!$B$10:$B$271="Полюс Сухой Лог")*('Парк NTE (SAP)'!$G$10:$G$271&lt;=EOMONTH(A67,0))*('Парк NTE (SAP)'!$I$10:$I$271&gt;=A67))</f>
        <v>70</v>
      </c>
      <c r="G67" s="38">
        <f>SUMPRODUCT(('Парк NTE (SAP)'!$B$10:$B$271="Полюс Магадан")*('Парк NTE (SAP)'!$G$10:$G$271&lt;=EOMONTH(A67,0))*('Парк NTE (SAP)'!$I$10:$I$271&gt;=A67))</f>
        <v>8</v>
      </c>
      <c r="H67" s="39">
        <f>E67+F67+G67</f>
        <v>92</v>
      </c>
      <c r="I67" s="36">
        <f>ROUNDUP(E67/$E$4,0)</f>
        <v>2</v>
      </c>
      <c r="J67" s="37">
        <f>ROUNDUP(F67/$E$4,0)</f>
        <v>7</v>
      </c>
      <c r="K67" s="38">
        <f>ROUNDUP(G67/$E$4,0)</f>
        <v>1</v>
      </c>
      <c r="L67" s="14">
        <f>(I67+J67+K67)*$E$5</f>
        <v>10</v>
      </c>
      <c r="M67" s="14">
        <f>(I67+J67+K67)*$E$6</f>
        <v>20</v>
      </c>
      <c r="N67" s="14">
        <f>(I67+J67+K67)*$E$7</f>
        <v>10</v>
      </c>
    </row>
    <row r="68">
      <c r="A68" s="35" t="n">
        <v>47027</v>
      </c>
      <c r="B68" s="10">
        <f>YEAR(A68)</f>
        <v>2028</v>
      </c>
      <c r="C68" s="10">
        <f>COUNTIFS('Парк NTE (SAP)'!$G$10:$G$271,"&gt;="&amp;A68,'Парк NTE (SAP)'!$G$10:$G$271,"&lt;="&amp;EOMONTH(A68,0))</f>
        <v>4</v>
      </c>
      <c r="D68" s="10">
        <f>COUNTIFS('Парк NTE (SAP)'!$I$10:$I$271,"&gt;="&amp;A68,'Парк NTE (SAP)'!$I$10:$I$271,"&lt;="&amp;EOMONTH(A68,0))</f>
        <v>3</v>
      </c>
      <c r="E68" s="36">
        <f>SUMPRODUCT(('Парк NTE (SAP)'!$B$10:$B$271="Полюс Красноярск")*('Парк NTE (SAP)'!$G$10:$G$271&lt;=EOMONTH(A68,0))*('Парк NTE (SAP)'!$I$10:$I$271&gt;=A68))</f>
        <v>14</v>
      </c>
      <c r="F68" s="37">
        <f>SUMPRODUCT(('Парк NTE (SAP)'!$B$10:$B$271="Полюс Сухой Лог")*('Парк NTE (SAP)'!$G$10:$G$271&lt;=EOMONTH(A68,0))*('Парк NTE (SAP)'!$I$10:$I$271&gt;=A68))</f>
        <v>71</v>
      </c>
      <c r="G68" s="38">
        <f>SUMPRODUCT(('Парк NTE (SAP)'!$B$10:$B$271="Полюс Магадан")*('Парк NTE (SAP)'!$G$10:$G$271&lt;=EOMONTH(A68,0))*('Парк NTE (SAP)'!$I$10:$I$271&gt;=A68))</f>
        <v>8</v>
      </c>
      <c r="H68" s="39">
        <f>E68+F68+G68</f>
        <v>93</v>
      </c>
      <c r="I68" s="36">
        <f>ROUNDUP(E68/$E$4,0)</f>
        <v>2</v>
      </c>
      <c r="J68" s="37">
        <f>ROUNDUP(F68/$E$4,0)</f>
        <v>8</v>
      </c>
      <c r="K68" s="38">
        <f>ROUNDUP(G68/$E$4,0)</f>
        <v>1</v>
      </c>
      <c r="L68" s="14">
        <f>(I68+J68+K68)*$E$5</f>
        <v>11</v>
      </c>
      <c r="M68" s="14">
        <f>(I68+J68+K68)*$E$6</f>
        <v>22</v>
      </c>
      <c r="N68" s="14">
        <f>(I68+J68+K68)*$E$7</f>
        <v>11</v>
      </c>
    </row>
    <row r="69">
      <c r="A69" s="35" t="n">
        <v>47058</v>
      </c>
      <c r="B69" s="10">
        <f>YEAR(A69)</f>
        <v>2028</v>
      </c>
      <c r="C69" s="10">
        <f>COUNTIFS('Парк NTE (SAP)'!$G$10:$G$271,"&gt;="&amp;A69,'Парк NTE (SAP)'!$G$10:$G$271,"&lt;="&amp;EOMONTH(A69,0))</f>
        <v>4</v>
      </c>
      <c r="D69" s="10">
        <f>COUNTIFS('Парк NTE (SAP)'!$I$10:$I$271,"&gt;="&amp;A69,'Парк NTE (SAP)'!$I$10:$I$271,"&lt;="&amp;EOMONTH(A69,0))</f>
        <v>9</v>
      </c>
      <c r="E69" s="36">
        <f>SUMPRODUCT(('Парк NTE (SAP)'!$B$10:$B$271="Полюс Красноярск")*('Парк NTE (SAP)'!$G$10:$G$271&lt;=EOMONTH(A69,0))*('Парк NTE (SAP)'!$I$10:$I$271&gt;=A69))</f>
        <v>14</v>
      </c>
      <c r="F69" s="37">
        <f>SUMPRODUCT(('Парк NTE (SAP)'!$B$10:$B$271="Полюс Сухой Лог")*('Парк NTE (SAP)'!$G$10:$G$271&lt;=EOMONTH(A69,0))*('Парк NTE (SAP)'!$I$10:$I$271&gt;=A69))</f>
        <v>72</v>
      </c>
      <c r="G69" s="38">
        <f>SUMPRODUCT(('Парк NTE (SAP)'!$B$10:$B$271="Полюс Магадан")*('Парк NTE (SAP)'!$G$10:$G$271&lt;=EOMONTH(A69,0))*('Парк NTE (SAP)'!$I$10:$I$271&gt;=A69))</f>
        <v>8</v>
      </c>
      <c r="H69" s="39">
        <f>E69+F69+G69</f>
        <v>94</v>
      </c>
      <c r="I69" s="36">
        <f>ROUNDUP(E69/$E$4,0)</f>
        <v>2</v>
      </c>
      <c r="J69" s="37">
        <f>ROUNDUP(F69/$E$4,0)</f>
        <v>8</v>
      </c>
      <c r="K69" s="38">
        <f>ROUNDUP(G69/$E$4,0)</f>
        <v>1</v>
      </c>
      <c r="L69" s="14">
        <f>(I69+J69+K69)*$E$5</f>
        <v>11</v>
      </c>
      <c r="M69" s="14">
        <f>(I69+J69+K69)*$E$6</f>
        <v>22</v>
      </c>
      <c r="N69" s="14">
        <f>(I69+J69+K69)*$E$7</f>
        <v>11</v>
      </c>
    </row>
    <row r="70">
      <c r="A70" s="35" t="n">
        <v>47088</v>
      </c>
      <c r="B70" s="10">
        <f>YEAR(A70)</f>
        <v>2028</v>
      </c>
      <c r="C70" s="10">
        <f>COUNTIFS('Парк NTE (SAP)'!$G$10:$G$271,"&gt;="&amp;A70,'Парк NTE (SAP)'!$G$10:$G$271,"&lt;="&amp;EOMONTH(A70,0))</f>
        <v>4</v>
      </c>
      <c r="D70" s="10">
        <f>COUNTIFS('Парк NTE (SAP)'!$I$10:$I$271,"&gt;="&amp;A70,'Парк NTE (SAP)'!$I$10:$I$271,"&lt;="&amp;EOMONTH(A70,0))</f>
        <v>6</v>
      </c>
      <c r="E70" s="36">
        <f>SUMPRODUCT(('Парк NTE (SAP)'!$B$10:$B$271="Полюс Красноярск")*('Парк NTE (SAP)'!$G$10:$G$271&lt;=EOMONTH(A70,0))*('Парк NTE (SAP)'!$I$10:$I$271&gt;=A70))</f>
        <v>8</v>
      </c>
      <c r="F70" s="37">
        <f>SUMPRODUCT(('Парк NTE (SAP)'!$B$10:$B$271="Полюс Сухой Лог")*('Парк NTE (SAP)'!$G$10:$G$271&lt;=EOMONTH(A70,0))*('Парк NTE (SAP)'!$I$10:$I$271&gt;=A70))</f>
        <v>73</v>
      </c>
      <c r="G70" s="38">
        <f>SUMPRODUCT(('Парк NTE (SAP)'!$B$10:$B$271="Полюс Магадан")*('Парк NTE (SAP)'!$G$10:$G$271&lt;=EOMONTH(A70,0))*('Парк NTE (SAP)'!$I$10:$I$271&gt;=A70))</f>
        <v>8</v>
      </c>
      <c r="H70" s="39">
        <f>E70+F70+G70</f>
        <v>89</v>
      </c>
      <c r="I70" s="36">
        <f>ROUNDUP(E70/$E$4,0)</f>
        <v>1</v>
      </c>
      <c r="J70" s="37">
        <f>ROUNDUP(F70/$E$4,0)</f>
        <v>8</v>
      </c>
      <c r="K70" s="38">
        <f>ROUNDUP(G70/$E$4,0)</f>
        <v>1</v>
      </c>
      <c r="L70" s="14">
        <f>(I70+J70+K70)*$E$5</f>
        <v>10</v>
      </c>
      <c r="M70" s="14">
        <f>(I70+J70+K70)*$E$6</f>
        <v>20</v>
      </c>
      <c r="N70" s="14">
        <f>(I70+J70+K70)*$E$7</f>
        <v>10</v>
      </c>
    </row>
    <row r="71">
      <c r="A71" s="35" t="n">
        <v>47119</v>
      </c>
      <c r="B71" s="10">
        <f>YEAR(A71)</f>
        <v>2029</v>
      </c>
      <c r="C71" s="10">
        <f>COUNTIFS('Парк NTE (SAP)'!$G$10:$G$271,"&gt;="&amp;A71,'Парк NTE (SAP)'!$G$10:$G$271,"&lt;="&amp;EOMONTH(A71,0))</f>
        <v>3</v>
      </c>
      <c r="D71" s="10">
        <f>COUNTIFS('Парк NTE (SAP)'!$I$10:$I$271,"&gt;="&amp;A71,'Парк NTE (SAP)'!$I$10:$I$271,"&lt;="&amp;EOMONTH(A71,0))</f>
        <v>6</v>
      </c>
      <c r="E71" s="36">
        <f>SUMPRODUCT(('Парк NTE (SAP)'!$B$10:$B$271="Полюс Красноярск")*('Парк NTE (SAP)'!$G$10:$G$271&lt;=EOMONTH(A71,0))*('Парк NTE (SAP)'!$I$10:$I$271&gt;=A71))</f>
        <v>2</v>
      </c>
      <c r="F71" s="37">
        <f>SUMPRODUCT(('Парк NTE (SAP)'!$B$10:$B$271="Полюс Сухой Лог")*('Парк NTE (SAP)'!$G$10:$G$271&lt;=EOMONTH(A71,0))*('Парк NTE (SAP)'!$I$10:$I$271&gt;=A71))</f>
        <v>76</v>
      </c>
      <c r="G71" s="38">
        <f>SUMPRODUCT(('Парк NTE (SAP)'!$B$10:$B$271="Полюс Магадан")*('Парк NTE (SAP)'!$G$10:$G$271&lt;=EOMONTH(A71,0))*('Парк NTE (SAP)'!$I$10:$I$271&gt;=A71))</f>
        <v>8</v>
      </c>
      <c r="H71" s="39">
        <f>E71+F71+G71</f>
        <v>86</v>
      </c>
      <c r="I71" s="36">
        <f>ROUNDUP(E71/$E$4,0)</f>
        <v>1</v>
      </c>
      <c r="J71" s="37">
        <f>ROUNDUP(F71/$E$4,0)</f>
        <v>8</v>
      </c>
      <c r="K71" s="38">
        <f>ROUNDUP(G71/$E$4,0)</f>
        <v>1</v>
      </c>
      <c r="L71" s="14">
        <f>(I71+J71+K71)*$E$5</f>
        <v>10</v>
      </c>
      <c r="M71" s="14">
        <f>(I71+J71+K71)*$E$6</f>
        <v>20</v>
      </c>
      <c r="N71" s="14">
        <f>(I71+J71+K71)*$E$7</f>
        <v>10</v>
      </c>
    </row>
    <row r="72">
      <c r="A72" s="35" t="n">
        <v>47150</v>
      </c>
      <c r="B72" s="10">
        <f>YEAR(A72)</f>
        <v>2029</v>
      </c>
      <c r="C72" s="10">
        <f>COUNTIFS('Парк NTE (SAP)'!$G$10:$G$271,"&gt;="&amp;A72,'Парк NTE (SAP)'!$G$10:$G$271,"&lt;="&amp;EOMONTH(A72,0))</f>
        <v>0</v>
      </c>
      <c r="D72" s="10">
        <f>COUNTIFS('Парк NTE (SAP)'!$I$10:$I$271,"&gt;="&amp;A72,'Парк NTE (SAP)'!$I$10:$I$271,"&lt;="&amp;EOMONTH(A72,0))</f>
        <v>3</v>
      </c>
      <c r="E72" s="36">
        <f>SUMPRODUCT(('Парк NTE (SAP)'!$B$10:$B$271="Полюс Красноярск")*('Парк NTE (SAP)'!$G$10:$G$271&lt;=EOMONTH(A72,0))*('Парк NTE (SAP)'!$I$10:$I$271&gt;=A72))</f>
        <v>0</v>
      </c>
      <c r="F72" s="37">
        <f>SUMPRODUCT(('Парк NTE (SAP)'!$B$10:$B$271="Полюс Сухой Лог")*('Парк NTE (SAP)'!$G$10:$G$271&lt;=EOMONTH(A72,0))*('Парк NTE (SAP)'!$I$10:$I$271&gt;=A72))</f>
        <v>76</v>
      </c>
      <c r="G72" s="38">
        <f>SUMPRODUCT(('Парк NTE (SAP)'!$B$10:$B$271="Полюс Магадан")*('Парк NTE (SAP)'!$G$10:$G$271&lt;=EOMONTH(A72,0))*('Парк NTE (SAP)'!$I$10:$I$271&gt;=A72))</f>
        <v>4</v>
      </c>
      <c r="H72" s="39">
        <f>E72+F72+G72</f>
        <v>80</v>
      </c>
      <c r="I72" s="36">
        <f>ROUNDUP(E72/$E$4,0)</f>
        <v>0</v>
      </c>
      <c r="J72" s="37">
        <f>ROUNDUP(F72/$E$4,0)</f>
        <v>8</v>
      </c>
      <c r="K72" s="38">
        <f>ROUNDUP(G72/$E$4,0)</f>
        <v>1</v>
      </c>
      <c r="L72" s="14">
        <f>(I72+J72+K72)*$E$5</f>
        <v>9</v>
      </c>
      <c r="M72" s="14">
        <f>(I72+J72+K72)*$E$6</f>
        <v>18</v>
      </c>
      <c r="N72" s="14">
        <f>(I72+J72+K72)*$E$7</f>
        <v>9</v>
      </c>
    </row>
    <row r="73">
      <c r="A73" s="35" t="n">
        <v>47178</v>
      </c>
      <c r="B73" s="10">
        <f>YEAR(A73)</f>
        <v>2029</v>
      </c>
      <c r="C73" s="10">
        <f>COUNTIFS('Парк NTE (SAP)'!$G$10:$G$271,"&gt;="&amp;A73,'Парк NTE (SAP)'!$G$10:$G$271,"&lt;="&amp;EOMONTH(A73,0))</f>
        <v>0</v>
      </c>
      <c r="D73" s="10">
        <f>COUNTIFS('Парк NTE (SAP)'!$I$10:$I$271,"&gt;="&amp;A73,'Парк NTE (SAP)'!$I$10:$I$271,"&lt;="&amp;EOMONTH(A73,0))</f>
        <v>0</v>
      </c>
      <c r="E73" s="36">
        <f>SUMPRODUCT(('Парк NTE (SAP)'!$B$10:$B$271="Полюс Красноярск")*('Парк NTE (SAP)'!$G$10:$G$271&lt;=EOMONTH(A73,0))*('Парк NTE (SAP)'!$I$10:$I$271&gt;=A73))</f>
        <v>0</v>
      </c>
      <c r="F73" s="37">
        <f>SUMPRODUCT(('Парк NTE (SAP)'!$B$10:$B$271="Полюс Сухой Лог")*('Парк NTE (SAP)'!$G$10:$G$271&lt;=EOMONTH(A73,0))*('Парк NTE (SAP)'!$I$10:$I$271&gt;=A73))</f>
        <v>76</v>
      </c>
      <c r="G73" s="38">
        <f>SUMPRODUCT(('Парк NTE (SAP)'!$B$10:$B$271="Полюс Магадан")*('Парк NTE (SAP)'!$G$10:$G$271&lt;=EOMONTH(A73,0))*('Парк NTE (SAP)'!$I$10:$I$271&gt;=A73))</f>
        <v>1</v>
      </c>
      <c r="H73" s="39">
        <f>E73+F73+G73</f>
        <v>77</v>
      </c>
      <c r="I73" s="36">
        <f>ROUNDUP(E73/$E$4,0)</f>
        <v>0</v>
      </c>
      <c r="J73" s="37">
        <f>ROUNDUP(F73/$E$4,0)</f>
        <v>8</v>
      </c>
      <c r="K73" s="38">
        <f>ROUNDUP(G73/$E$4,0)</f>
        <v>1</v>
      </c>
      <c r="L73" s="14">
        <f>(I73+J73+K73)*$E$5</f>
        <v>9</v>
      </c>
      <c r="M73" s="14">
        <f>(I73+J73+K73)*$E$6</f>
        <v>18</v>
      </c>
      <c r="N73" s="14">
        <f>(I73+J73+K73)*$E$7</f>
        <v>9</v>
      </c>
    </row>
    <row r="74">
      <c r="A74" s="35" t="n">
        <v>47209</v>
      </c>
      <c r="B74" s="10">
        <f>YEAR(A74)</f>
        <v>2029</v>
      </c>
      <c r="C74" s="10">
        <f>COUNTIFS('Парк NTE (SAP)'!$G$10:$G$271,"&gt;="&amp;A74,'Парк NTE (SAP)'!$G$10:$G$271,"&lt;="&amp;EOMONTH(A74,0))</f>
        <v>0</v>
      </c>
      <c r="D74" s="10">
        <f>COUNTIFS('Парк NTE (SAP)'!$I$10:$I$271,"&gt;="&amp;A74,'Парк NTE (SAP)'!$I$10:$I$271,"&lt;="&amp;EOMONTH(A74,0))</f>
        <v>4</v>
      </c>
      <c r="E74" s="36">
        <f>SUMPRODUCT(('Парк NTE (SAP)'!$B$10:$B$271="Полюс Красноярск")*('Парк NTE (SAP)'!$G$10:$G$271&lt;=EOMONTH(A74,0))*('Парк NTE (SAP)'!$I$10:$I$271&gt;=A74))</f>
        <v>0</v>
      </c>
      <c r="F74" s="37">
        <f>SUMPRODUCT(('Парк NTE (SAP)'!$B$10:$B$271="Полюс Сухой Лог")*('Парк NTE (SAP)'!$G$10:$G$271&lt;=EOMONTH(A74,0))*('Парк NTE (SAP)'!$I$10:$I$271&gt;=A74))</f>
        <v>76</v>
      </c>
      <c r="G74" s="38">
        <f>SUMPRODUCT(('Парк NTE (SAP)'!$B$10:$B$271="Полюс Магадан")*('Парк NTE (SAP)'!$G$10:$G$271&lt;=EOMONTH(A74,0))*('Парк NTE (SAP)'!$I$10:$I$271&gt;=A74))</f>
        <v>1</v>
      </c>
      <c r="H74" s="39">
        <f>E74+F74+G74</f>
        <v>77</v>
      </c>
      <c r="I74" s="36">
        <f>ROUNDUP(E74/$E$4,0)</f>
        <v>0</v>
      </c>
      <c r="J74" s="37">
        <f>ROUNDUP(F74/$E$4,0)</f>
        <v>8</v>
      </c>
      <c r="K74" s="38">
        <f>ROUNDUP(G74/$E$4,0)</f>
        <v>1</v>
      </c>
      <c r="L74" s="14">
        <f>(I74+J74+K74)*$E$5</f>
        <v>9</v>
      </c>
      <c r="M74" s="14">
        <f>(I74+J74+K74)*$E$6</f>
        <v>18</v>
      </c>
      <c r="N74" s="14">
        <f>(I74+J74+K74)*$E$7</f>
        <v>9</v>
      </c>
    </row>
    <row r="75">
      <c r="A75" s="35" t="n">
        <v>47239</v>
      </c>
      <c r="B75" s="10">
        <f>YEAR(A75)</f>
        <v>2029</v>
      </c>
      <c r="C75" s="10">
        <f>COUNTIFS('Парк NTE (SAP)'!$G$10:$G$271,"&gt;="&amp;A75,'Парк NTE (SAP)'!$G$10:$G$271,"&lt;="&amp;EOMONTH(A75,0))</f>
        <v>0</v>
      </c>
      <c r="D75" s="10">
        <f>COUNTIFS('Парк NTE (SAP)'!$I$10:$I$271,"&gt;="&amp;A75,'Парк NTE (SAP)'!$I$10:$I$271,"&lt;="&amp;EOMONTH(A75,0))</f>
        <v>4</v>
      </c>
      <c r="E75" s="36">
        <f>SUMPRODUCT(('Парк NTE (SAP)'!$B$10:$B$271="Полюс Красноярск")*('Парк NTE (SAP)'!$G$10:$G$271&lt;=EOMONTH(A75,0))*('Парк NTE (SAP)'!$I$10:$I$271&gt;=A75))</f>
        <v>0</v>
      </c>
      <c r="F75" s="37">
        <f>SUMPRODUCT(('Парк NTE (SAP)'!$B$10:$B$271="Полюс Сухой Лог")*('Парк NTE (SAP)'!$G$10:$G$271&lt;=EOMONTH(A75,0))*('Парк NTE (SAP)'!$I$10:$I$271&gt;=A75))</f>
        <v>72</v>
      </c>
      <c r="G75" s="38">
        <f>SUMPRODUCT(('Парк NTE (SAP)'!$B$10:$B$271="Полюс Магадан")*('Парк NTE (SAP)'!$G$10:$G$271&lt;=EOMONTH(A75,0))*('Парк NTE (SAP)'!$I$10:$I$271&gt;=A75))</f>
        <v>1</v>
      </c>
      <c r="H75" s="39">
        <f>E75+F75+G75</f>
        <v>73</v>
      </c>
      <c r="I75" s="36">
        <f>ROUNDUP(E75/$E$4,0)</f>
        <v>0</v>
      </c>
      <c r="J75" s="37">
        <f>ROUNDUP(F75/$E$4,0)</f>
        <v>8</v>
      </c>
      <c r="K75" s="38">
        <f>ROUNDUP(G75/$E$4,0)</f>
        <v>1</v>
      </c>
      <c r="L75" s="14">
        <f>(I75+J75+K75)*$E$5</f>
        <v>9</v>
      </c>
      <c r="M75" s="14">
        <f>(I75+J75+K75)*$E$6</f>
        <v>18</v>
      </c>
      <c r="N75" s="14">
        <f>(I75+J75+K75)*$E$7</f>
        <v>9</v>
      </c>
    </row>
    <row r="76">
      <c r="A76" s="35" t="n">
        <v>47270</v>
      </c>
      <c r="B76" s="10">
        <f>YEAR(A76)</f>
        <v>2029</v>
      </c>
      <c r="C76" s="10">
        <f>COUNTIFS('Парк NTE (SAP)'!$G$10:$G$271,"&gt;="&amp;A76,'Парк NTE (SAP)'!$G$10:$G$271,"&lt;="&amp;EOMONTH(A76,0))</f>
        <v>0</v>
      </c>
      <c r="D76" s="10">
        <f>COUNTIFS('Парк NTE (SAP)'!$I$10:$I$271,"&gt;="&amp;A76,'Парк NTE (SAP)'!$I$10:$I$271,"&lt;="&amp;EOMONTH(A76,0))</f>
        <v>4</v>
      </c>
      <c r="E76" s="36">
        <f>SUMPRODUCT(('Парк NTE (SAP)'!$B$10:$B$271="Полюс Красноярск")*('Парк NTE (SAP)'!$G$10:$G$271&lt;=EOMONTH(A76,0))*('Парк NTE (SAP)'!$I$10:$I$271&gt;=A76))</f>
        <v>0</v>
      </c>
      <c r="F76" s="37">
        <f>SUMPRODUCT(('Парк NTE (SAP)'!$B$10:$B$271="Полюс Сухой Лог")*('Парк NTE (SAP)'!$G$10:$G$271&lt;=EOMONTH(A76,0))*('Парк NTE (SAP)'!$I$10:$I$271&gt;=A76))</f>
        <v>68</v>
      </c>
      <c r="G76" s="38">
        <f>SUMPRODUCT(('Парк NTE (SAP)'!$B$10:$B$271="Полюс Магадан")*('Парк NTE (SAP)'!$G$10:$G$271&lt;=EOMONTH(A76,0))*('Парк NTE (SAP)'!$I$10:$I$271&gt;=A76))</f>
        <v>1</v>
      </c>
      <c r="H76" s="39">
        <f>E76+F76+G76</f>
        <v>69</v>
      </c>
      <c r="I76" s="36">
        <f>ROUNDUP(E76/$E$4,0)</f>
        <v>0</v>
      </c>
      <c r="J76" s="37">
        <f>ROUNDUP(F76/$E$4,0)</f>
        <v>7</v>
      </c>
      <c r="K76" s="38">
        <f>ROUNDUP(G76/$E$4,0)</f>
        <v>1</v>
      </c>
      <c r="L76" s="14">
        <f>(I76+J76+K76)*$E$5</f>
        <v>8</v>
      </c>
      <c r="M76" s="14">
        <f>(I76+J76+K76)*$E$6</f>
        <v>16</v>
      </c>
      <c r="N76" s="14">
        <f>(I76+J76+K76)*$E$7</f>
        <v>8</v>
      </c>
    </row>
    <row r="77">
      <c r="A77" s="35" t="n">
        <v>47300</v>
      </c>
      <c r="B77" s="10">
        <f>YEAR(A77)</f>
        <v>2029</v>
      </c>
      <c r="C77" s="10">
        <f>COUNTIFS('Парк NTE (SAP)'!$G$10:$G$271,"&gt;="&amp;A77,'Парк NTE (SAP)'!$G$10:$G$271,"&lt;="&amp;EOMONTH(A77,0))</f>
        <v>0</v>
      </c>
      <c r="D77" s="10">
        <f>COUNTIFS('Парк NTE (SAP)'!$I$10:$I$271,"&gt;="&amp;A77,'Парк NTE (SAP)'!$I$10:$I$271,"&lt;="&amp;EOMONTH(A77,0))</f>
        <v>3</v>
      </c>
      <c r="E77" s="36">
        <f>SUMPRODUCT(('Парк NTE (SAP)'!$B$10:$B$271="Полюс Красноярск")*('Парк NTE (SAP)'!$G$10:$G$271&lt;=EOMONTH(A77,0))*('Парк NTE (SAP)'!$I$10:$I$271&gt;=A77))</f>
        <v>0</v>
      </c>
      <c r="F77" s="37">
        <f>SUMPRODUCT(('Парк NTE (SAP)'!$B$10:$B$271="Полюс Сухой Лог")*('Парк NTE (SAP)'!$G$10:$G$271&lt;=EOMONTH(A77,0))*('Парк NTE (SAP)'!$I$10:$I$271&gt;=A77))</f>
        <v>64</v>
      </c>
      <c r="G77" s="38">
        <f>SUMPRODUCT(('Парк NTE (SAP)'!$B$10:$B$271="Полюс Магадан")*('Парк NTE (SAP)'!$G$10:$G$271&lt;=EOMONTH(A77,0))*('Парк NTE (SAP)'!$I$10:$I$271&gt;=A77))</f>
        <v>1</v>
      </c>
      <c r="H77" s="39">
        <f>E77+F77+G77</f>
        <v>65</v>
      </c>
      <c r="I77" s="36">
        <f>ROUNDUP(E77/$E$4,0)</f>
        <v>0</v>
      </c>
      <c r="J77" s="37">
        <f>ROUNDUP(F77/$E$4,0)</f>
        <v>7</v>
      </c>
      <c r="K77" s="38">
        <f>ROUNDUP(G77/$E$4,0)</f>
        <v>1</v>
      </c>
      <c r="L77" s="14">
        <f>(I77+J77+K77)*$E$5</f>
        <v>8</v>
      </c>
      <c r="M77" s="14">
        <f>(I77+J77+K77)*$E$6</f>
        <v>16</v>
      </c>
      <c r="N77" s="14">
        <f>(I77+J77+K77)*$E$7</f>
        <v>8</v>
      </c>
    </row>
    <row r="78">
      <c r="A78" s="35" t="n">
        <v>47331</v>
      </c>
      <c r="B78" s="10">
        <f>YEAR(A78)</f>
        <v>2029</v>
      </c>
      <c r="C78" s="10">
        <f>COUNTIFS('Парк NTE (SAP)'!$G$10:$G$271,"&gt;="&amp;A78,'Парк NTE (SAP)'!$G$10:$G$271,"&lt;="&amp;EOMONTH(A78,0))</f>
        <v>0</v>
      </c>
      <c r="D78" s="10">
        <f>COUNTIFS('Парк NTE (SAP)'!$I$10:$I$271,"&gt;="&amp;A78,'Парк NTE (SAP)'!$I$10:$I$271,"&lt;="&amp;EOMONTH(A78,0))</f>
        <v>5</v>
      </c>
      <c r="E78" s="36">
        <f>SUMPRODUCT(('Парк NTE (SAP)'!$B$10:$B$271="Полюс Красноярск")*('Парк NTE (SAP)'!$G$10:$G$271&lt;=EOMONTH(A78,0))*('Парк NTE (SAP)'!$I$10:$I$271&gt;=A78))</f>
        <v>0</v>
      </c>
      <c r="F78" s="37">
        <f>SUMPRODUCT(('Парк NTE (SAP)'!$B$10:$B$271="Полюс Сухой Лог")*('Парк NTE (SAP)'!$G$10:$G$271&lt;=EOMONTH(A78,0))*('Парк NTE (SAP)'!$I$10:$I$271&gt;=A78))</f>
        <v>61</v>
      </c>
      <c r="G78" s="38">
        <f>SUMPRODUCT(('Парк NTE (SAP)'!$B$10:$B$271="Полюс Магадан")*('Парк NTE (SAP)'!$G$10:$G$271&lt;=EOMONTH(A78,0))*('Парк NTE (SAP)'!$I$10:$I$271&gt;=A78))</f>
        <v>1</v>
      </c>
      <c r="H78" s="39">
        <f>E78+F78+G78</f>
        <v>62</v>
      </c>
      <c r="I78" s="36">
        <f>ROUNDUP(E78/$E$4,0)</f>
        <v>0</v>
      </c>
      <c r="J78" s="37">
        <f>ROUNDUP(F78/$E$4,0)</f>
        <v>7</v>
      </c>
      <c r="K78" s="38">
        <f>ROUNDUP(G78/$E$4,0)</f>
        <v>1</v>
      </c>
      <c r="L78" s="14">
        <f>(I78+J78+K78)*$E$5</f>
        <v>8</v>
      </c>
      <c r="M78" s="14">
        <f>(I78+J78+K78)*$E$6</f>
        <v>16</v>
      </c>
      <c r="N78" s="14">
        <f>(I78+J78+K78)*$E$7</f>
        <v>8</v>
      </c>
    </row>
    <row r="79">
      <c r="A79" s="35" t="n">
        <v>47362</v>
      </c>
      <c r="B79" s="10">
        <f>YEAR(A79)</f>
        <v>2029</v>
      </c>
      <c r="C79" s="10">
        <f>COUNTIFS('Парк NTE (SAP)'!$G$10:$G$271,"&gt;="&amp;A79,'Парк NTE (SAP)'!$G$10:$G$271,"&lt;="&amp;EOMONTH(A79,0))</f>
        <v>0</v>
      </c>
      <c r="D79" s="10">
        <f>COUNTIFS('Парк NTE (SAP)'!$I$10:$I$271,"&gt;="&amp;A79,'Парк NTE (SAP)'!$I$10:$I$271,"&lt;="&amp;EOMONTH(A79,0))</f>
        <v>4</v>
      </c>
      <c r="E79" s="36">
        <f>SUMPRODUCT(('Парк NTE (SAP)'!$B$10:$B$271="Полюс Красноярск")*('Парк NTE (SAP)'!$G$10:$G$271&lt;=EOMONTH(A79,0))*('Парк NTE (SAP)'!$I$10:$I$271&gt;=A79))</f>
        <v>0</v>
      </c>
      <c r="F79" s="37">
        <f>SUMPRODUCT(('Парк NTE (SAP)'!$B$10:$B$271="Полюс Сухой Лог")*('Парк NTE (SAP)'!$G$10:$G$271&lt;=EOMONTH(A79,0))*('Парк NTE (SAP)'!$I$10:$I$271&gt;=A79))</f>
        <v>57</v>
      </c>
      <c r="G79" s="38">
        <f>SUMPRODUCT(('Парк NTE (SAP)'!$B$10:$B$271="Полюс Магадан")*('Парк NTE (SAP)'!$G$10:$G$271&lt;=EOMONTH(A79,0))*('Парк NTE (SAP)'!$I$10:$I$271&gt;=A79))</f>
        <v>0</v>
      </c>
      <c r="H79" s="39">
        <f>E79+F79+G79</f>
        <v>57</v>
      </c>
      <c r="I79" s="36">
        <f>ROUNDUP(E79/$E$4,0)</f>
        <v>0</v>
      </c>
      <c r="J79" s="37">
        <f>ROUNDUP(F79/$E$4,0)</f>
        <v>6</v>
      </c>
      <c r="K79" s="38">
        <f>ROUNDUP(G79/$E$4,0)</f>
        <v>0</v>
      </c>
      <c r="L79" s="14">
        <f>(I79+J79+K79)*$E$5</f>
        <v>6</v>
      </c>
      <c r="M79" s="14">
        <f>(I79+J79+K79)*$E$6</f>
        <v>12</v>
      </c>
      <c r="N79" s="14">
        <f>(I79+J79+K79)*$E$7</f>
        <v>6</v>
      </c>
    </row>
    <row r="80">
      <c r="A80" s="35" t="n">
        <v>47392</v>
      </c>
      <c r="B80" s="10">
        <f>YEAR(A80)</f>
        <v>2029</v>
      </c>
      <c r="C80" s="10">
        <f>COUNTIFS('Парк NTE (SAP)'!$G$10:$G$271,"&gt;="&amp;A80,'Парк NTE (SAP)'!$G$10:$G$271,"&lt;="&amp;EOMONTH(A80,0))</f>
        <v>0</v>
      </c>
      <c r="D80" s="10">
        <f>COUNTIFS('Парк NTE (SAP)'!$I$10:$I$271,"&gt;="&amp;A80,'Парк NTE (SAP)'!$I$10:$I$271,"&lt;="&amp;EOMONTH(A80,0))</f>
        <v>4</v>
      </c>
      <c r="E80" s="36">
        <f>SUMPRODUCT(('Парк NTE (SAP)'!$B$10:$B$271="Полюс Красноярск")*('Парк NTE (SAP)'!$G$10:$G$271&lt;=EOMONTH(A80,0))*('Парк NTE (SAP)'!$I$10:$I$271&gt;=A80))</f>
        <v>0</v>
      </c>
      <c r="F80" s="37">
        <f>SUMPRODUCT(('Парк NTE (SAP)'!$B$10:$B$271="Полюс Сухой Лог")*('Парк NTE (SAP)'!$G$10:$G$271&lt;=EOMONTH(A80,0))*('Парк NTE (SAP)'!$I$10:$I$271&gt;=A80))</f>
        <v>53</v>
      </c>
      <c r="G80" s="38">
        <f>SUMPRODUCT(('Парк NTE (SAP)'!$B$10:$B$271="Полюс Магадан")*('Парк NTE (SAP)'!$G$10:$G$271&lt;=EOMONTH(A80,0))*('Парк NTE (SAP)'!$I$10:$I$271&gt;=A80))</f>
        <v>0</v>
      </c>
      <c r="H80" s="39">
        <f>E80+F80+G80</f>
        <v>53</v>
      </c>
      <c r="I80" s="36">
        <f>ROUNDUP(E80/$E$4,0)</f>
        <v>0</v>
      </c>
      <c r="J80" s="37">
        <f>ROUNDUP(F80/$E$4,0)</f>
        <v>6</v>
      </c>
      <c r="K80" s="38">
        <f>ROUNDUP(G80/$E$4,0)</f>
        <v>0</v>
      </c>
      <c r="L80" s="14">
        <f>(I80+J80+K80)*$E$5</f>
        <v>6</v>
      </c>
      <c r="M80" s="14">
        <f>(I80+J80+K80)*$E$6</f>
        <v>12</v>
      </c>
      <c r="N80" s="14">
        <f>(I80+J80+K80)*$E$7</f>
        <v>6</v>
      </c>
    </row>
    <row r="81">
      <c r="A81" s="35" t="n">
        <v>47423</v>
      </c>
      <c r="B81" s="10">
        <f>YEAR(A81)</f>
        <v>2029</v>
      </c>
      <c r="C81" s="10">
        <f>COUNTIFS('Парк NTE (SAP)'!$G$10:$G$271,"&gt;="&amp;A81,'Парк NTE (SAP)'!$G$10:$G$271,"&lt;="&amp;EOMONTH(A81,0))</f>
        <v>0</v>
      </c>
      <c r="D81" s="10">
        <f>COUNTIFS('Парк NTE (SAP)'!$I$10:$I$271,"&gt;="&amp;A81,'Парк NTE (SAP)'!$I$10:$I$271,"&lt;="&amp;EOMONTH(A81,0))</f>
        <v>4</v>
      </c>
      <c r="E81" s="36">
        <f>SUMPRODUCT(('Парк NTE (SAP)'!$B$10:$B$271="Полюс Красноярск")*('Парк NTE (SAP)'!$G$10:$G$271&lt;=EOMONTH(A81,0))*('Парк NTE (SAP)'!$I$10:$I$271&gt;=A81))</f>
        <v>0</v>
      </c>
      <c r="F81" s="37">
        <f>SUMPRODUCT(('Парк NTE (SAP)'!$B$10:$B$271="Полюс Сухой Лог")*('Парк NTE (SAP)'!$G$10:$G$271&lt;=EOMONTH(A81,0))*('Парк NTE (SAP)'!$I$10:$I$271&gt;=A81))</f>
        <v>49</v>
      </c>
      <c r="G81" s="38">
        <f>SUMPRODUCT(('Парк NTE (SAP)'!$B$10:$B$271="Полюс Магадан")*('Парк NTE (SAP)'!$G$10:$G$271&lt;=EOMONTH(A81,0))*('Парк NTE (SAP)'!$I$10:$I$271&gt;=A81))</f>
        <v>0</v>
      </c>
      <c r="H81" s="39">
        <f>E81+F81+G81</f>
        <v>49</v>
      </c>
      <c r="I81" s="36">
        <f>ROUNDUP(E81/$E$4,0)</f>
        <v>0</v>
      </c>
      <c r="J81" s="37">
        <f>ROUNDUP(F81/$E$4,0)</f>
        <v>5</v>
      </c>
      <c r="K81" s="38">
        <f>ROUNDUP(G81/$E$4,0)</f>
        <v>0</v>
      </c>
      <c r="L81" s="14">
        <f>(I81+J81+K81)*$E$5</f>
        <v>5</v>
      </c>
      <c r="M81" s="14">
        <f>(I81+J81+K81)*$E$6</f>
        <v>10</v>
      </c>
      <c r="N81" s="14">
        <f>(I81+J81+K81)*$E$7</f>
        <v>5</v>
      </c>
    </row>
    <row r="82">
      <c r="A82" s="35" t="n">
        <v>47453</v>
      </c>
      <c r="B82" s="10">
        <f>YEAR(A82)</f>
        <v>2029</v>
      </c>
      <c r="C82" s="10">
        <f>COUNTIFS('Парк NTE (SAP)'!$G$10:$G$271,"&gt;="&amp;A82,'Парк NTE (SAP)'!$G$10:$G$271,"&lt;="&amp;EOMONTH(A82,0))</f>
        <v>0</v>
      </c>
      <c r="D82" s="10">
        <f>COUNTIFS('Парк NTE (SAP)'!$I$10:$I$271,"&gt;="&amp;A82,'Парк NTE (SAP)'!$I$10:$I$271,"&lt;="&amp;EOMONTH(A82,0))</f>
        <v>4</v>
      </c>
      <c r="E82" s="36">
        <f>SUMPRODUCT(('Парк NTE (SAP)'!$B$10:$B$271="Полюс Красноярск")*('Парк NTE (SAP)'!$G$10:$G$271&lt;=EOMONTH(A82,0))*('Парк NTE (SAP)'!$I$10:$I$271&gt;=A82))</f>
        <v>0</v>
      </c>
      <c r="F82" s="37">
        <f>SUMPRODUCT(('Парк NTE (SAP)'!$B$10:$B$271="Полюс Сухой Лог")*('Парк NTE (SAP)'!$G$10:$G$271&lt;=EOMONTH(A82,0))*('Парк NTE (SAP)'!$I$10:$I$271&gt;=A82))</f>
        <v>45</v>
      </c>
      <c r="G82" s="38">
        <f>SUMPRODUCT(('Парк NTE (SAP)'!$B$10:$B$271="Полюс Магадан")*('Парк NTE (SAP)'!$G$10:$G$271&lt;=EOMONTH(A82,0))*('Парк NTE (SAP)'!$I$10:$I$271&gt;=A82))</f>
        <v>0</v>
      </c>
      <c r="H82" s="39">
        <f>E82+F82+G82</f>
        <v>45</v>
      </c>
      <c r="I82" s="36">
        <f>ROUNDUP(E82/$E$4,0)</f>
        <v>0</v>
      </c>
      <c r="J82" s="37">
        <f>ROUNDUP(F82/$E$4,0)</f>
        <v>5</v>
      </c>
      <c r="K82" s="38">
        <f>ROUNDUP(G82/$E$4,0)</f>
        <v>0</v>
      </c>
      <c r="L82" s="14">
        <f>(I82+J82+K82)*$E$5</f>
        <v>5</v>
      </c>
      <c r="M82" s="14">
        <f>(I82+J82+K82)*$E$6</f>
        <v>10</v>
      </c>
      <c r="N82" s="14">
        <f>(I82+J82+K82)*$E$7</f>
        <v>5</v>
      </c>
    </row>
    <row r="83">
      <c r="A83" s="35" t="n">
        <v>47484</v>
      </c>
      <c r="B83" s="10">
        <f>YEAR(A83)</f>
        <v>2030</v>
      </c>
      <c r="C83" s="10">
        <f>COUNTIFS('Парк NTE (SAP)'!$G$10:$G$271,"&gt;="&amp;A83,'Парк NTE (SAP)'!$G$10:$G$271,"&lt;="&amp;EOMONTH(A83,0))</f>
        <v>0</v>
      </c>
      <c r="D83" s="10">
        <f>COUNTIFS('Парк NTE (SAP)'!$I$10:$I$271,"&gt;="&amp;A83,'Парк NTE (SAP)'!$I$10:$I$271,"&lt;="&amp;EOMONTH(A83,0))</f>
        <v>3</v>
      </c>
      <c r="E83" s="36">
        <f>SUMPRODUCT(('Парк NTE (SAP)'!$B$10:$B$271="Полюс Красноярск")*('Парк NTE (SAP)'!$G$10:$G$271&lt;=EOMONTH(A83,0))*('Парк NTE (SAP)'!$I$10:$I$271&gt;=A83))</f>
        <v>0</v>
      </c>
      <c r="F83" s="37">
        <f>SUMPRODUCT(('Парк NTE (SAP)'!$B$10:$B$271="Полюс Сухой Лог")*('Парк NTE (SAP)'!$G$10:$G$271&lt;=EOMONTH(A83,0))*('Парк NTE (SAP)'!$I$10:$I$271&gt;=A83))</f>
        <v>41</v>
      </c>
      <c r="G83" s="38">
        <f>SUMPRODUCT(('Парк NTE (SAP)'!$B$10:$B$271="Полюс Магадан")*('Парк NTE (SAP)'!$G$10:$G$271&lt;=EOMONTH(A83,0))*('Парк NTE (SAP)'!$I$10:$I$271&gt;=A83))</f>
        <v>0</v>
      </c>
      <c r="H83" s="39">
        <f>E83+F83+G83</f>
        <v>41</v>
      </c>
      <c r="I83" s="36">
        <f>ROUNDUP(E83/$E$4,0)</f>
        <v>0</v>
      </c>
      <c r="J83" s="37">
        <f>ROUNDUP(F83/$E$4,0)</f>
        <v>5</v>
      </c>
      <c r="K83" s="38">
        <f>ROUNDUP(G83/$E$4,0)</f>
        <v>0</v>
      </c>
      <c r="L83" s="14">
        <f>(I83+J83+K83)*$E$5</f>
        <v>5</v>
      </c>
      <c r="M83" s="14">
        <f>(I83+J83+K83)*$E$6</f>
        <v>10</v>
      </c>
      <c r="N83" s="14">
        <f>(I83+J83+K83)*$E$7</f>
        <v>5</v>
      </c>
    </row>
    <row r="84">
      <c r="A84" s="35" t="n">
        <v>47515</v>
      </c>
      <c r="B84" s="10">
        <f>YEAR(A84)</f>
        <v>2030</v>
      </c>
      <c r="C84" s="10">
        <f>COUNTIFS('Парк NTE (SAP)'!$G$10:$G$271,"&gt;="&amp;A84,'Парк NTE (SAP)'!$G$10:$G$271,"&lt;="&amp;EOMONTH(A84,0))</f>
        <v>0</v>
      </c>
      <c r="D84" s="10">
        <f>COUNTIFS('Парк NTE (SAP)'!$I$10:$I$271,"&gt;="&amp;A84,'Парк NTE (SAP)'!$I$10:$I$271,"&lt;="&amp;EOMONTH(A84,0))</f>
        <v>3</v>
      </c>
      <c r="E84" s="36">
        <f>SUMPRODUCT(('Парк NTE (SAP)'!$B$10:$B$271="Полюс Красноярск")*('Парк NTE (SAP)'!$G$10:$G$271&lt;=EOMONTH(A84,0))*('Парк NTE (SAP)'!$I$10:$I$271&gt;=A84))</f>
        <v>0</v>
      </c>
      <c r="F84" s="37">
        <f>SUMPRODUCT(('Парк NTE (SAP)'!$B$10:$B$271="Полюс Сухой Лог")*('Парк NTE (SAP)'!$G$10:$G$271&lt;=EOMONTH(A84,0))*('Парк NTE (SAP)'!$I$10:$I$271&gt;=A84))</f>
        <v>38</v>
      </c>
      <c r="G84" s="38">
        <f>SUMPRODUCT(('Парк NTE (SAP)'!$B$10:$B$271="Полюс Магадан")*('Парк NTE (SAP)'!$G$10:$G$271&lt;=EOMONTH(A84,0))*('Парк NTE (SAP)'!$I$10:$I$271&gt;=A84))</f>
        <v>0</v>
      </c>
      <c r="H84" s="39">
        <f>E84+F84+G84</f>
        <v>38</v>
      </c>
      <c r="I84" s="36">
        <f>ROUNDUP(E84/$E$4,0)</f>
        <v>0</v>
      </c>
      <c r="J84" s="37">
        <f>ROUNDUP(F84/$E$4,0)</f>
        <v>4</v>
      </c>
      <c r="K84" s="38">
        <f>ROUNDUP(G84/$E$4,0)</f>
        <v>0</v>
      </c>
      <c r="L84" s="14">
        <f>(I84+J84+K84)*$E$5</f>
        <v>4</v>
      </c>
      <c r="M84" s="14">
        <f>(I84+J84+K84)*$E$6</f>
        <v>8</v>
      </c>
      <c r="N84" s="14">
        <f>(I84+J84+K84)*$E$7</f>
        <v>4</v>
      </c>
    </row>
    <row r="85">
      <c r="A85" s="35" t="n">
        <v>47543</v>
      </c>
      <c r="B85" s="10">
        <f>YEAR(A85)</f>
        <v>2030</v>
      </c>
      <c r="C85" s="10">
        <f>COUNTIFS('Парк NTE (SAP)'!$G$10:$G$271,"&gt;="&amp;A85,'Парк NTE (SAP)'!$G$10:$G$271,"&lt;="&amp;EOMONTH(A85,0))</f>
        <v>0</v>
      </c>
      <c r="D85" s="10">
        <f>COUNTIFS('Парк NTE (SAP)'!$I$10:$I$271,"&gt;="&amp;A85,'Парк NTE (SAP)'!$I$10:$I$271,"&lt;="&amp;EOMONTH(A85,0))</f>
        <v>3</v>
      </c>
      <c r="E85" s="36">
        <f>SUMPRODUCT(('Парк NTE (SAP)'!$B$10:$B$271="Полюс Красноярск")*('Парк NTE (SAP)'!$G$10:$G$271&lt;=EOMONTH(A85,0))*('Парк NTE (SAP)'!$I$10:$I$271&gt;=A85))</f>
        <v>0</v>
      </c>
      <c r="F85" s="37">
        <f>SUMPRODUCT(('Парк NTE (SAP)'!$B$10:$B$271="Полюс Сухой Лог")*('Парк NTE (SAP)'!$G$10:$G$271&lt;=EOMONTH(A85,0))*('Парк NTE (SAP)'!$I$10:$I$271&gt;=A85))</f>
        <v>35</v>
      </c>
      <c r="G85" s="38">
        <f>SUMPRODUCT(('Парк NTE (SAP)'!$B$10:$B$271="Полюс Магадан")*('Парк NTE (SAP)'!$G$10:$G$271&lt;=EOMONTH(A85,0))*('Парк NTE (SAP)'!$I$10:$I$271&gt;=A85))</f>
        <v>0</v>
      </c>
      <c r="H85" s="39">
        <f>E85+F85+G85</f>
        <v>35</v>
      </c>
      <c r="I85" s="36">
        <f>ROUNDUP(E85/$E$4,0)</f>
        <v>0</v>
      </c>
      <c r="J85" s="37">
        <f>ROUNDUP(F85/$E$4,0)</f>
        <v>4</v>
      </c>
      <c r="K85" s="38">
        <f>ROUNDUP(G85/$E$4,0)</f>
        <v>0</v>
      </c>
      <c r="L85" s="14">
        <f>(I85+J85+K85)*$E$5</f>
        <v>4</v>
      </c>
      <c r="M85" s="14">
        <f>(I85+J85+K85)*$E$6</f>
        <v>8</v>
      </c>
      <c r="N85" s="14">
        <f>(I85+J85+K85)*$E$7</f>
        <v>4</v>
      </c>
    </row>
    <row r="86">
      <c r="A86" s="35" t="n">
        <v>47574</v>
      </c>
      <c r="B86" s="10">
        <f>YEAR(A86)</f>
        <v>2030</v>
      </c>
      <c r="C86" s="10">
        <f>COUNTIFS('Парк NTE (SAP)'!$G$10:$G$271,"&gt;="&amp;A86,'Парк NTE (SAP)'!$G$10:$G$271,"&lt;="&amp;EOMONTH(A86,0))</f>
        <v>0</v>
      </c>
      <c r="D86" s="10">
        <f>COUNTIFS('Парк NTE (SAP)'!$I$10:$I$271,"&gt;="&amp;A86,'Парк NTE (SAP)'!$I$10:$I$271,"&lt;="&amp;EOMONTH(A86,0))</f>
        <v>4</v>
      </c>
      <c r="E86" s="36">
        <f>SUMPRODUCT(('Парк NTE (SAP)'!$B$10:$B$271="Полюс Красноярск")*('Парк NTE (SAP)'!$G$10:$G$271&lt;=EOMONTH(A86,0))*('Парк NTE (SAP)'!$I$10:$I$271&gt;=A86))</f>
        <v>0</v>
      </c>
      <c r="F86" s="37">
        <f>SUMPRODUCT(('Парк NTE (SAP)'!$B$10:$B$271="Полюс Сухой Лог")*('Парк NTE (SAP)'!$G$10:$G$271&lt;=EOMONTH(A86,0))*('Парк NTE (SAP)'!$I$10:$I$271&gt;=A86))</f>
        <v>32</v>
      </c>
      <c r="G86" s="38">
        <f>SUMPRODUCT(('Парк NTE (SAP)'!$B$10:$B$271="Полюс Магадан")*('Парк NTE (SAP)'!$G$10:$G$271&lt;=EOMONTH(A86,0))*('Парк NTE (SAP)'!$I$10:$I$271&gt;=A86))</f>
        <v>0</v>
      </c>
      <c r="H86" s="39">
        <f>E86+F86+G86</f>
        <v>32</v>
      </c>
      <c r="I86" s="36">
        <f>ROUNDUP(E86/$E$4,0)</f>
        <v>0</v>
      </c>
      <c r="J86" s="37">
        <f>ROUNDUP(F86/$E$4,0)</f>
        <v>4</v>
      </c>
      <c r="K86" s="38">
        <f>ROUNDUP(G86/$E$4,0)</f>
        <v>0</v>
      </c>
      <c r="L86" s="14">
        <f>(I86+J86+K86)*$E$5</f>
        <v>4</v>
      </c>
      <c r="M86" s="14">
        <f>(I86+J86+K86)*$E$6</f>
        <v>8</v>
      </c>
      <c r="N86" s="14">
        <f>(I86+J86+K86)*$E$7</f>
        <v>4</v>
      </c>
    </row>
    <row r="87">
      <c r="A87" s="35" t="n">
        <v>47604</v>
      </c>
      <c r="B87" s="10">
        <f>YEAR(A87)</f>
        <v>2030</v>
      </c>
      <c r="C87" s="10">
        <f>COUNTIFS('Парк NTE (SAP)'!$G$10:$G$271,"&gt;="&amp;A87,'Парк NTE (SAP)'!$G$10:$G$271,"&lt;="&amp;EOMONTH(A87,0))</f>
        <v>0</v>
      </c>
      <c r="D87" s="10">
        <f>COUNTIFS('Парк NTE (SAP)'!$I$10:$I$271,"&gt;="&amp;A87,'Парк NTE (SAP)'!$I$10:$I$271,"&lt;="&amp;EOMONTH(A87,0))</f>
        <v>4</v>
      </c>
      <c r="E87" s="36">
        <f>SUMPRODUCT(('Парк NTE (SAP)'!$B$10:$B$271="Полюс Красноярск")*('Парк NTE (SAP)'!$G$10:$G$271&lt;=EOMONTH(A87,0))*('Парк NTE (SAP)'!$I$10:$I$271&gt;=A87))</f>
        <v>0</v>
      </c>
      <c r="F87" s="37">
        <f>SUMPRODUCT(('Парк NTE (SAP)'!$B$10:$B$271="Полюс Сухой Лог")*('Парк NTE (SAP)'!$G$10:$G$271&lt;=EOMONTH(A87,0))*('Парк NTE (SAP)'!$I$10:$I$271&gt;=A87))</f>
        <v>28</v>
      </c>
      <c r="G87" s="38">
        <f>SUMPRODUCT(('Парк NTE (SAP)'!$B$10:$B$271="Полюс Магадан")*('Парк NTE (SAP)'!$G$10:$G$271&lt;=EOMONTH(A87,0))*('Парк NTE (SAP)'!$I$10:$I$271&gt;=A87))</f>
        <v>0</v>
      </c>
      <c r="H87" s="39">
        <f>E87+F87+G87</f>
        <v>28</v>
      </c>
      <c r="I87" s="36">
        <f>ROUNDUP(E87/$E$4,0)</f>
        <v>0</v>
      </c>
      <c r="J87" s="37">
        <f>ROUNDUP(F87/$E$4,0)</f>
        <v>3</v>
      </c>
      <c r="K87" s="38">
        <f>ROUNDUP(G87/$E$4,0)</f>
        <v>0</v>
      </c>
      <c r="L87" s="14">
        <f>(I87+J87+K87)*$E$5</f>
        <v>3</v>
      </c>
      <c r="M87" s="14">
        <f>(I87+J87+K87)*$E$6</f>
        <v>6</v>
      </c>
      <c r="N87" s="14">
        <f>(I87+J87+K87)*$E$7</f>
        <v>3</v>
      </c>
    </row>
    <row r="88">
      <c r="A88" s="35" t="n">
        <v>47635</v>
      </c>
      <c r="B88" s="10">
        <f>YEAR(A88)</f>
        <v>2030</v>
      </c>
      <c r="C88" s="10">
        <f>COUNTIFS('Парк NTE (SAP)'!$G$10:$G$271,"&gt;="&amp;A88,'Парк NTE (SAP)'!$G$10:$G$271,"&lt;="&amp;EOMONTH(A88,0))</f>
        <v>0</v>
      </c>
      <c r="D88" s="10">
        <f>COUNTIFS('Парк NTE (SAP)'!$I$10:$I$271,"&gt;="&amp;A88,'Парк NTE (SAP)'!$I$10:$I$271,"&lt;="&amp;EOMONTH(A88,0))</f>
        <v>4</v>
      </c>
      <c r="E88" s="36">
        <f>SUMPRODUCT(('Парк NTE (SAP)'!$B$10:$B$271="Полюс Красноярск")*('Парк NTE (SAP)'!$G$10:$G$271&lt;=EOMONTH(A88,0))*('Парк NTE (SAP)'!$I$10:$I$271&gt;=A88))</f>
        <v>0</v>
      </c>
      <c r="F88" s="37">
        <f>SUMPRODUCT(('Парк NTE (SAP)'!$B$10:$B$271="Полюс Сухой Лог")*('Парк NTE (SAP)'!$G$10:$G$271&lt;=EOMONTH(A88,0))*('Парк NTE (SAP)'!$I$10:$I$271&gt;=A88))</f>
        <v>24</v>
      </c>
      <c r="G88" s="38">
        <f>SUMPRODUCT(('Парк NTE (SAP)'!$B$10:$B$271="Полюс Магадан")*('Парк NTE (SAP)'!$G$10:$G$271&lt;=EOMONTH(A88,0))*('Парк NTE (SAP)'!$I$10:$I$271&gt;=A88))</f>
        <v>0</v>
      </c>
      <c r="H88" s="39">
        <f>E88+F88+G88</f>
        <v>24</v>
      </c>
      <c r="I88" s="36">
        <f>ROUNDUP(E88/$E$4,0)</f>
        <v>0</v>
      </c>
      <c r="J88" s="37">
        <f>ROUNDUP(F88/$E$4,0)</f>
        <v>3</v>
      </c>
      <c r="K88" s="38">
        <f>ROUNDUP(G88/$E$4,0)</f>
        <v>0</v>
      </c>
      <c r="L88" s="14">
        <f>(I88+J88+K88)*$E$5</f>
        <v>3</v>
      </c>
      <c r="M88" s="14">
        <f>(I88+J88+K88)*$E$6</f>
        <v>6</v>
      </c>
      <c r="N88" s="14">
        <f>(I88+J88+K88)*$E$7</f>
        <v>3</v>
      </c>
    </row>
    <row r="89">
      <c r="A89" s="35" t="n">
        <v>47665</v>
      </c>
      <c r="B89" s="10">
        <f>YEAR(A89)</f>
        <v>2030</v>
      </c>
      <c r="C89" s="10">
        <f>COUNTIFS('Парк NTE (SAP)'!$G$10:$G$271,"&gt;="&amp;A89,'Парк NTE (SAP)'!$G$10:$G$271,"&lt;="&amp;EOMONTH(A89,0))</f>
        <v>0</v>
      </c>
      <c r="D89" s="10">
        <f>COUNTIFS('Парк NTE (SAP)'!$I$10:$I$271,"&gt;="&amp;A89,'Парк NTE (SAP)'!$I$10:$I$271,"&lt;="&amp;EOMONTH(A89,0))</f>
        <v>3</v>
      </c>
      <c r="E89" s="36">
        <f>SUMPRODUCT(('Парк NTE (SAP)'!$B$10:$B$271="Полюс Красноярск")*('Парк NTE (SAP)'!$G$10:$G$271&lt;=EOMONTH(A89,0))*('Парк NTE (SAP)'!$I$10:$I$271&gt;=A89))</f>
        <v>0</v>
      </c>
      <c r="F89" s="37">
        <f>SUMPRODUCT(('Парк NTE (SAP)'!$B$10:$B$271="Полюс Сухой Лог")*('Парк NTE (SAP)'!$G$10:$G$271&lt;=EOMONTH(A89,0))*('Парк NTE (SAP)'!$I$10:$I$271&gt;=A89))</f>
        <v>20</v>
      </c>
      <c r="G89" s="38">
        <f>SUMPRODUCT(('Парк NTE (SAP)'!$B$10:$B$271="Полюс Магадан")*('Парк NTE (SAP)'!$G$10:$G$271&lt;=EOMONTH(A89,0))*('Парк NTE (SAP)'!$I$10:$I$271&gt;=A89))</f>
        <v>0</v>
      </c>
      <c r="H89" s="39">
        <f>E89+F89+G89</f>
        <v>20</v>
      </c>
      <c r="I89" s="36">
        <f>ROUNDUP(E89/$E$4,0)</f>
        <v>0</v>
      </c>
      <c r="J89" s="37">
        <f>ROUNDUP(F89/$E$4,0)</f>
        <v>2</v>
      </c>
      <c r="K89" s="38">
        <f>ROUNDUP(G89/$E$4,0)</f>
        <v>0</v>
      </c>
      <c r="L89" s="14">
        <f>(I89+J89+K89)*$E$5</f>
        <v>2</v>
      </c>
      <c r="M89" s="14">
        <f>(I89+J89+K89)*$E$6</f>
        <v>4</v>
      </c>
      <c r="N89" s="14">
        <f>(I89+J89+K89)*$E$7</f>
        <v>2</v>
      </c>
    </row>
    <row r="90">
      <c r="A90" s="35" t="n">
        <v>47696</v>
      </c>
      <c r="B90" s="10">
        <f>YEAR(A90)</f>
        <v>2030</v>
      </c>
      <c r="C90" s="10">
        <f>COUNTIFS('Парк NTE (SAP)'!$G$10:$G$271,"&gt;="&amp;A90,'Парк NTE (SAP)'!$G$10:$G$271,"&lt;="&amp;EOMONTH(A90,0))</f>
        <v>0</v>
      </c>
      <c r="D90" s="10">
        <f>COUNTIFS('Парк NTE (SAP)'!$I$10:$I$271,"&gt;="&amp;A90,'Парк NTE (SAP)'!$I$10:$I$271,"&lt;="&amp;EOMONTH(A90,0))</f>
        <v>1</v>
      </c>
      <c r="E90" s="36">
        <f>SUMPRODUCT(('Парк NTE (SAP)'!$B$10:$B$271="Полюс Красноярск")*('Парк NTE (SAP)'!$G$10:$G$271&lt;=EOMONTH(A90,0))*('Парк NTE (SAP)'!$I$10:$I$271&gt;=A90))</f>
        <v>0</v>
      </c>
      <c r="F90" s="37">
        <f>SUMPRODUCT(('Парк NTE (SAP)'!$B$10:$B$271="Полюс Сухой Лог")*('Парк NTE (SAP)'!$G$10:$G$271&lt;=EOMONTH(A90,0))*('Парк NTE (SAP)'!$I$10:$I$271&gt;=A90))</f>
        <v>17</v>
      </c>
      <c r="G90" s="38">
        <f>SUMPRODUCT(('Парк NTE (SAP)'!$B$10:$B$271="Полюс Магадан")*('Парк NTE (SAP)'!$G$10:$G$271&lt;=EOMONTH(A90,0))*('Парк NTE (SAP)'!$I$10:$I$271&gt;=A90))</f>
        <v>0</v>
      </c>
      <c r="H90" s="39">
        <f>E90+F90+G90</f>
        <v>17</v>
      </c>
      <c r="I90" s="36">
        <f>ROUNDUP(E90/$E$4,0)</f>
        <v>0</v>
      </c>
      <c r="J90" s="37">
        <f>ROUNDUP(F90/$E$4,0)</f>
        <v>2</v>
      </c>
      <c r="K90" s="38">
        <f>ROUNDUP(G90/$E$4,0)</f>
        <v>0</v>
      </c>
      <c r="L90" s="14">
        <f>(I90+J90+K90)*$E$5</f>
        <v>2</v>
      </c>
      <c r="M90" s="14">
        <f>(I90+J90+K90)*$E$6</f>
        <v>4</v>
      </c>
      <c r="N90" s="14">
        <f>(I90+J90+K90)*$E$7</f>
        <v>2</v>
      </c>
    </row>
    <row r="91">
      <c r="A91" s="35" t="n">
        <v>47727</v>
      </c>
      <c r="B91" s="10">
        <f>YEAR(A91)</f>
        <v>2030</v>
      </c>
      <c r="C91" s="10">
        <f>COUNTIFS('Парк NTE (SAP)'!$G$10:$G$271,"&gt;="&amp;A91,'Парк NTE (SAP)'!$G$10:$G$271,"&lt;="&amp;EOMONTH(A91,0))</f>
        <v>0</v>
      </c>
      <c r="D91" s="10">
        <f>COUNTIFS('Парк NTE (SAP)'!$I$10:$I$271,"&gt;="&amp;A91,'Парк NTE (SAP)'!$I$10:$I$271,"&lt;="&amp;EOMONTH(A91,0))</f>
        <v>1</v>
      </c>
      <c r="E91" s="36">
        <f>SUMPRODUCT(('Парк NTE (SAP)'!$B$10:$B$271="Полюс Красноярск")*('Парк NTE (SAP)'!$G$10:$G$271&lt;=EOMONTH(A91,0))*('Парк NTE (SAP)'!$I$10:$I$271&gt;=A91))</f>
        <v>0</v>
      </c>
      <c r="F91" s="37">
        <f>SUMPRODUCT(('Парк NTE (SAP)'!$B$10:$B$271="Полюс Сухой Лог")*('Парк NTE (SAP)'!$G$10:$G$271&lt;=EOMONTH(A91,0))*('Парк NTE (SAP)'!$I$10:$I$271&gt;=A91))</f>
        <v>16</v>
      </c>
      <c r="G91" s="38">
        <f>SUMPRODUCT(('Парк NTE (SAP)'!$B$10:$B$271="Полюс Магадан")*('Парк NTE (SAP)'!$G$10:$G$271&lt;=EOMONTH(A91,0))*('Парк NTE (SAP)'!$I$10:$I$271&gt;=A91))</f>
        <v>0</v>
      </c>
      <c r="H91" s="39">
        <f>E91+F91+G91</f>
        <v>16</v>
      </c>
      <c r="I91" s="36">
        <f>ROUNDUP(E91/$E$4,0)</f>
        <v>0</v>
      </c>
      <c r="J91" s="37">
        <f>ROUNDUP(F91/$E$4,0)</f>
        <v>2</v>
      </c>
      <c r="K91" s="38">
        <f>ROUNDUP(G91/$E$4,0)</f>
        <v>0</v>
      </c>
      <c r="L91" s="14">
        <f>(I91+J91+K91)*$E$5</f>
        <v>2</v>
      </c>
      <c r="M91" s="14">
        <f>(I91+J91+K91)*$E$6</f>
        <v>4</v>
      </c>
      <c r="N91" s="14">
        <f>(I91+J91+K91)*$E$7</f>
        <v>2</v>
      </c>
    </row>
    <row r="92">
      <c r="A92" s="35" t="n">
        <v>47757</v>
      </c>
      <c r="B92" s="10">
        <f>YEAR(A92)</f>
        <v>2030</v>
      </c>
      <c r="C92" s="10">
        <f>COUNTIFS('Парк NTE (SAP)'!$G$10:$G$271,"&gt;="&amp;A92,'Парк NTE (SAP)'!$G$10:$G$271,"&lt;="&amp;EOMONTH(A92,0))</f>
        <v>0</v>
      </c>
      <c r="D92" s="10">
        <f>COUNTIFS('Парк NTE (SAP)'!$I$10:$I$271,"&gt;="&amp;A92,'Парк NTE (SAP)'!$I$10:$I$271,"&lt;="&amp;EOMONTH(A92,0))</f>
        <v>4</v>
      </c>
      <c r="E92" s="36">
        <f>SUMPRODUCT(('Парк NTE (SAP)'!$B$10:$B$271="Полюс Красноярск")*('Парк NTE (SAP)'!$G$10:$G$271&lt;=EOMONTH(A92,0))*('Парк NTE (SAP)'!$I$10:$I$271&gt;=A92))</f>
        <v>0</v>
      </c>
      <c r="F92" s="37">
        <f>SUMPRODUCT(('Парк NTE (SAP)'!$B$10:$B$271="Полюс Сухой Лог")*('Парк NTE (SAP)'!$G$10:$G$271&lt;=EOMONTH(A92,0))*('Парк NTE (SAP)'!$I$10:$I$271&gt;=A92))</f>
        <v>15</v>
      </c>
      <c r="G92" s="38">
        <f>SUMPRODUCT(('Парк NTE (SAP)'!$B$10:$B$271="Полюс Магадан")*('Парк NTE (SAP)'!$G$10:$G$271&lt;=EOMONTH(A92,0))*('Парк NTE (SAP)'!$I$10:$I$271&gt;=A92))</f>
        <v>0</v>
      </c>
      <c r="H92" s="39">
        <f>E92+F92+G92</f>
        <v>15</v>
      </c>
      <c r="I92" s="36">
        <f>ROUNDUP(E92/$E$4,0)</f>
        <v>0</v>
      </c>
      <c r="J92" s="37">
        <f>ROUNDUP(F92/$E$4,0)</f>
        <v>2</v>
      </c>
      <c r="K92" s="38">
        <f>ROUNDUP(G92/$E$4,0)</f>
        <v>0</v>
      </c>
      <c r="L92" s="14">
        <f>(I92+J92+K92)*$E$5</f>
        <v>2</v>
      </c>
      <c r="M92" s="14">
        <f>(I92+J92+K92)*$E$6</f>
        <v>4</v>
      </c>
      <c r="N92" s="14">
        <f>(I92+J92+K92)*$E$7</f>
        <v>2</v>
      </c>
    </row>
    <row r="93">
      <c r="A93" s="35" t="n">
        <v>47788</v>
      </c>
      <c r="B93" s="10">
        <f>YEAR(A93)</f>
        <v>2030</v>
      </c>
      <c r="C93" s="10">
        <f>COUNTIFS('Парк NTE (SAP)'!$G$10:$G$271,"&gt;="&amp;A93,'Парк NTE (SAP)'!$G$10:$G$271,"&lt;="&amp;EOMONTH(A93,0))</f>
        <v>0</v>
      </c>
      <c r="D93" s="10">
        <f>COUNTIFS('Парк NTE (SAP)'!$I$10:$I$271,"&gt;="&amp;A93,'Парк NTE (SAP)'!$I$10:$I$271,"&lt;="&amp;EOMONTH(A93,0))</f>
        <v>4</v>
      </c>
      <c r="E93" s="36">
        <f>SUMPRODUCT(('Парк NTE (SAP)'!$B$10:$B$271="Полюс Красноярск")*('Парк NTE (SAP)'!$G$10:$G$271&lt;=EOMONTH(A93,0))*('Парк NTE (SAP)'!$I$10:$I$271&gt;=A93))</f>
        <v>0</v>
      </c>
      <c r="F93" s="37">
        <f>SUMPRODUCT(('Парк NTE (SAP)'!$B$10:$B$271="Полюс Сухой Лог")*('Парк NTE (SAP)'!$G$10:$G$271&lt;=EOMONTH(A93,0))*('Парк NTE (SAP)'!$I$10:$I$271&gt;=A93))</f>
        <v>11</v>
      </c>
      <c r="G93" s="38">
        <f>SUMPRODUCT(('Парк NTE (SAP)'!$B$10:$B$271="Полюс Магадан")*('Парк NTE (SAP)'!$G$10:$G$271&lt;=EOMONTH(A93,0))*('Парк NTE (SAP)'!$I$10:$I$271&gt;=A93))</f>
        <v>0</v>
      </c>
      <c r="H93" s="39">
        <f>E93+F93+G93</f>
        <v>11</v>
      </c>
      <c r="I93" s="36">
        <f>ROUNDUP(E93/$E$4,0)</f>
        <v>0</v>
      </c>
      <c r="J93" s="37">
        <f>ROUNDUP(F93/$E$4,0)</f>
        <v>2</v>
      </c>
      <c r="K93" s="38">
        <f>ROUNDUP(G93/$E$4,0)</f>
        <v>0</v>
      </c>
      <c r="L93" s="14">
        <f>(I93+J93+K93)*$E$5</f>
        <v>2</v>
      </c>
      <c r="M93" s="14">
        <f>(I93+J93+K93)*$E$6</f>
        <v>4</v>
      </c>
      <c r="N93" s="14">
        <f>(I93+J93+K93)*$E$7</f>
        <v>2</v>
      </c>
    </row>
    <row r="94">
      <c r="A94" s="35" t="n">
        <v>47818</v>
      </c>
      <c r="B94" s="10">
        <f>YEAR(A94)</f>
        <v>2030</v>
      </c>
      <c r="C94" s="10">
        <f>COUNTIFS('Парк NTE (SAP)'!$G$10:$G$271,"&gt;="&amp;A94,'Парк NTE (SAP)'!$G$10:$G$271,"&lt;="&amp;EOMONTH(A94,0))</f>
        <v>0</v>
      </c>
      <c r="D94" s="10">
        <f>COUNTIFS('Парк NTE (SAP)'!$I$10:$I$271,"&gt;="&amp;A94,'Парк NTE (SAP)'!$I$10:$I$271,"&lt;="&amp;EOMONTH(A94,0))</f>
        <v>4</v>
      </c>
      <c r="E94" s="36">
        <f>SUMPRODUCT(('Парк NTE (SAP)'!$B$10:$B$271="Полюс Красноярск")*('Парк NTE (SAP)'!$G$10:$G$271&lt;=EOMONTH(A94,0))*('Парк NTE (SAP)'!$I$10:$I$271&gt;=A94))</f>
        <v>0</v>
      </c>
      <c r="F94" s="37">
        <f>SUMPRODUCT(('Парк NTE (SAP)'!$B$10:$B$271="Полюс Сухой Лог")*('Парк NTE (SAP)'!$G$10:$G$271&lt;=EOMONTH(A94,0))*('Парк NTE (SAP)'!$I$10:$I$271&gt;=A94))</f>
        <v>7</v>
      </c>
      <c r="G94" s="38">
        <f>SUMPRODUCT(('Парк NTE (SAP)'!$B$10:$B$271="Полюс Магадан")*('Парк NTE (SAP)'!$G$10:$G$271&lt;=EOMONTH(A94,0))*('Парк NTE (SAP)'!$I$10:$I$271&gt;=A94))</f>
        <v>0</v>
      </c>
      <c r="H94" s="39">
        <f>E94+F94+G94</f>
        <v>7</v>
      </c>
      <c r="I94" s="36">
        <f>ROUNDUP(E94/$E$4,0)</f>
        <v>0</v>
      </c>
      <c r="J94" s="37">
        <f>ROUNDUP(F94/$E$4,0)</f>
        <v>1</v>
      </c>
      <c r="K94" s="38">
        <f>ROUNDUP(G94/$E$4,0)</f>
        <v>0</v>
      </c>
      <c r="L94" s="14">
        <f>(I94+J94+K94)*$E$5</f>
        <v>1</v>
      </c>
      <c r="M94" s="14">
        <f>(I94+J94+K94)*$E$6</f>
        <v>2</v>
      </c>
      <c r="N94" s="14">
        <f>(I94+J94+K94)*$E$7</f>
        <v>1</v>
      </c>
    </row>
    <row r="95">
      <c r="A95" s="35" t="n">
        <v>47849</v>
      </c>
      <c r="B95" s="10">
        <f>YEAR(A95)</f>
        <v>2031</v>
      </c>
      <c r="C95" s="10">
        <f>COUNTIFS('Парк NTE (SAP)'!$G$10:$G$271,"&gt;="&amp;A95,'Парк NTE (SAP)'!$G$10:$G$271,"&lt;="&amp;EOMONTH(A95,0))</f>
        <v>0</v>
      </c>
      <c r="D95" s="10">
        <f>COUNTIFS('Парк NTE (SAP)'!$I$10:$I$271,"&gt;="&amp;A95,'Парк NTE (SAP)'!$I$10:$I$271,"&lt;="&amp;EOMONTH(A95,0))</f>
        <v>3</v>
      </c>
      <c r="E95" s="36">
        <f>SUMPRODUCT(('Парк NTE (SAP)'!$B$10:$B$271="Полюс Красноярск")*('Парк NTE (SAP)'!$G$10:$G$271&lt;=EOMONTH(A95,0))*('Парк NTE (SAP)'!$I$10:$I$271&gt;=A95))</f>
        <v>0</v>
      </c>
      <c r="F95" s="37">
        <f>SUMPRODUCT(('Парк NTE (SAP)'!$B$10:$B$271="Полюс Сухой Лог")*('Парк NTE (SAP)'!$G$10:$G$271&lt;=EOMONTH(A95,0))*('Парк NTE (SAP)'!$I$10:$I$271&gt;=A95))</f>
        <v>3</v>
      </c>
      <c r="G95" s="38">
        <f>SUMPRODUCT(('Парк NTE (SAP)'!$B$10:$B$271="Полюс Магадан")*('Парк NTE (SAP)'!$G$10:$G$271&lt;=EOMONTH(A95,0))*('Парк NTE (SAP)'!$I$10:$I$271&gt;=A95))</f>
        <v>0</v>
      </c>
      <c r="H95" s="39">
        <f>E95+F95+G95</f>
        <v>3</v>
      </c>
      <c r="I95" s="36">
        <f>ROUNDUP(E95/$E$4,0)</f>
        <v>0</v>
      </c>
      <c r="J95" s="37">
        <f>ROUNDUP(F95/$E$4,0)</f>
        <v>1</v>
      </c>
      <c r="K95" s="38">
        <f>ROUNDUP(G95/$E$4,0)</f>
        <v>0</v>
      </c>
      <c r="L95" s="14">
        <f>(I95+J95+K95)*$E$5</f>
        <v>1</v>
      </c>
      <c r="M95" s="14">
        <f>(I95+J95+K95)*$E$6</f>
        <v>2</v>
      </c>
      <c r="N95" s="14">
        <f>(I95+J95+K95)*$E$7</f>
        <v>1</v>
      </c>
    </row>
    <row r="96">
      <c r="A96" s="35" t="n">
        <v>47880</v>
      </c>
      <c r="B96" s="10">
        <f>YEAR(A96)</f>
        <v>2031</v>
      </c>
      <c r="C96" s="10">
        <f>COUNTIFS('Парк NTE (SAP)'!$G$10:$G$271,"&gt;="&amp;A96,'Парк NTE (SAP)'!$G$10:$G$271,"&lt;="&amp;EOMONTH(A96,0))</f>
        <v>0</v>
      </c>
      <c r="D96" s="10">
        <f>COUNTIFS('Парк NTE (SAP)'!$I$10:$I$271,"&gt;="&amp;A96,'Парк NTE (SAP)'!$I$10:$I$271,"&lt;="&amp;EOMONTH(A96,0))</f>
        <v>0</v>
      </c>
      <c r="E96" s="36">
        <f>SUMPRODUCT(('Парк NTE (SAP)'!$B$10:$B$271="Полюс Красноярск")*('Парк NTE (SAP)'!$G$10:$G$271&lt;=EOMONTH(A96,0))*('Парк NTE (SAP)'!$I$10:$I$271&gt;=A96))</f>
        <v>0</v>
      </c>
      <c r="F96" s="37">
        <f>SUMPRODUCT(('Парк NTE (SAP)'!$B$10:$B$271="Полюс Сухой Лог")*('Парк NTE (SAP)'!$G$10:$G$271&lt;=EOMONTH(A96,0))*('Парк NTE (SAP)'!$I$10:$I$271&gt;=A96))</f>
        <v>0</v>
      </c>
      <c r="G96" s="38">
        <f>SUMPRODUCT(('Парк NTE (SAP)'!$B$10:$B$271="Полюс Магадан")*('Парк NTE (SAP)'!$G$10:$G$271&lt;=EOMONTH(A96,0))*('Парк NTE (SAP)'!$I$10:$I$271&gt;=A96))</f>
        <v>0</v>
      </c>
      <c r="H96" s="39">
        <f>E96+F96+G96</f>
        <v>0</v>
      </c>
      <c r="I96" s="36">
        <f>ROUNDUP(E96/$E$4,0)</f>
        <v>0</v>
      </c>
      <c r="J96" s="37">
        <f>ROUNDUP(F96/$E$4,0)</f>
        <v>0</v>
      </c>
      <c r="K96" s="38">
        <f>ROUNDUP(G96/$E$4,0)</f>
        <v>0</v>
      </c>
      <c r="L96" s="14">
        <f>(I96+J96+K96)*$E$5</f>
        <v>0</v>
      </c>
      <c r="M96" s="14">
        <f>(I96+J96+K96)*$E$6</f>
        <v>0</v>
      </c>
      <c r="N96" s="14">
        <f>(I96+J96+K96)*$E$7</f>
        <v>0</v>
      </c>
    </row>
    <row r="97">
      <c r="A97" s="35" t="n">
        <v>47908</v>
      </c>
      <c r="B97" s="10">
        <f>YEAR(A97)</f>
        <v>2031</v>
      </c>
      <c r="C97" s="10">
        <f>COUNTIFS('Парк NTE (SAP)'!$G$10:$G$271,"&gt;="&amp;A97,'Парк NTE (SAP)'!$G$10:$G$271,"&lt;="&amp;EOMONTH(A97,0))</f>
        <v>0</v>
      </c>
      <c r="D97" s="10">
        <f>COUNTIFS('Парк NTE (SAP)'!$I$10:$I$271,"&gt;="&amp;A97,'Парк NTE (SAP)'!$I$10:$I$271,"&lt;="&amp;EOMONTH(A97,0))</f>
        <v>0</v>
      </c>
      <c r="E97" s="36">
        <f>SUMPRODUCT(('Парк NTE (SAP)'!$B$10:$B$271="Полюс Красноярск")*('Парк NTE (SAP)'!$G$10:$G$271&lt;=EOMONTH(A97,0))*('Парк NTE (SAP)'!$I$10:$I$271&gt;=A97))</f>
        <v>0</v>
      </c>
      <c r="F97" s="37">
        <f>SUMPRODUCT(('Парк NTE (SAP)'!$B$10:$B$271="Полюс Сухой Лог")*('Парк NTE (SAP)'!$G$10:$G$271&lt;=EOMONTH(A97,0))*('Парк NTE (SAP)'!$I$10:$I$271&gt;=A97))</f>
        <v>0</v>
      </c>
      <c r="G97" s="38">
        <f>SUMPRODUCT(('Парк NTE (SAP)'!$B$10:$B$271="Полюс Магадан")*('Парк NTE (SAP)'!$G$10:$G$271&lt;=EOMONTH(A97,0))*('Парк NTE (SAP)'!$I$10:$I$271&gt;=A97))</f>
        <v>0</v>
      </c>
      <c r="H97" s="39">
        <f>E97+F97+G97</f>
        <v>0</v>
      </c>
      <c r="I97" s="36">
        <f>ROUNDUP(E97/$E$4,0)</f>
        <v>0</v>
      </c>
      <c r="J97" s="37">
        <f>ROUNDUP(F97/$E$4,0)</f>
        <v>0</v>
      </c>
      <c r="K97" s="38">
        <f>ROUNDUP(G97/$E$4,0)</f>
        <v>0</v>
      </c>
      <c r="L97" s="14">
        <f>(I97+J97+K97)*$E$5</f>
        <v>0</v>
      </c>
      <c r="M97" s="14">
        <f>(I97+J97+K97)*$E$6</f>
        <v>0</v>
      </c>
      <c r="N97" s="14">
        <f>(I97+J97+K97)*$E$7</f>
        <v>0</v>
      </c>
    </row>
    <row r="98">
      <c r="A98" s="35" t="n">
        <v>47939</v>
      </c>
      <c r="B98" s="10">
        <f>YEAR(A98)</f>
        <v>2031</v>
      </c>
      <c r="C98" s="10">
        <f>COUNTIFS('Парк NTE (SAP)'!$G$10:$G$271,"&gt;="&amp;A98,'Парк NTE (SAP)'!$G$10:$G$271,"&lt;="&amp;EOMONTH(A98,0))</f>
        <v>0</v>
      </c>
      <c r="D98" s="10">
        <f>COUNTIFS('Парк NTE (SAP)'!$I$10:$I$271,"&gt;="&amp;A98,'Парк NTE (SAP)'!$I$10:$I$271,"&lt;="&amp;EOMONTH(A98,0))</f>
        <v>0</v>
      </c>
      <c r="E98" s="36">
        <f>SUMPRODUCT(('Парк NTE (SAP)'!$B$10:$B$271="Полюс Красноярск")*('Парк NTE (SAP)'!$G$10:$G$271&lt;=EOMONTH(A98,0))*('Парк NTE (SAP)'!$I$10:$I$271&gt;=A98))</f>
        <v>0</v>
      </c>
      <c r="F98" s="37">
        <f>SUMPRODUCT(('Парк NTE (SAP)'!$B$10:$B$271="Полюс Сухой Лог")*('Парк NTE (SAP)'!$G$10:$G$271&lt;=EOMONTH(A98,0))*('Парк NTE (SAP)'!$I$10:$I$271&gt;=A98))</f>
        <v>0</v>
      </c>
      <c r="G98" s="38">
        <f>SUMPRODUCT(('Парк NTE (SAP)'!$B$10:$B$271="Полюс Магадан")*('Парк NTE (SAP)'!$G$10:$G$271&lt;=EOMONTH(A98,0))*('Парк NTE (SAP)'!$I$10:$I$271&gt;=A98))</f>
        <v>0</v>
      </c>
      <c r="H98" s="39">
        <f>E98+F98+G98</f>
        <v>0</v>
      </c>
      <c r="I98" s="36">
        <f>ROUNDUP(E98/$E$4,0)</f>
        <v>0</v>
      </c>
      <c r="J98" s="37">
        <f>ROUNDUP(F98/$E$4,0)</f>
        <v>0</v>
      </c>
      <c r="K98" s="38">
        <f>ROUNDUP(G98/$E$4,0)</f>
        <v>0</v>
      </c>
      <c r="L98" s="14">
        <f>(I98+J98+K98)*$E$5</f>
        <v>0</v>
      </c>
      <c r="M98" s="14">
        <f>(I98+J98+K98)*$E$6</f>
        <v>0</v>
      </c>
      <c r="N98" s="14">
        <f>(I98+J98+K98)*$E$7</f>
        <v>0</v>
      </c>
    </row>
    <row r="99">
      <c r="A99" s="35" t="n">
        <v>47969</v>
      </c>
      <c r="B99" s="10">
        <f>YEAR(A99)</f>
        <v>2031</v>
      </c>
      <c r="C99" s="10">
        <f>COUNTIFS('Парк NTE (SAP)'!$G$10:$G$271,"&gt;="&amp;A99,'Парк NTE (SAP)'!$G$10:$G$271,"&lt;="&amp;EOMONTH(A99,0))</f>
        <v>0</v>
      </c>
      <c r="D99" s="10">
        <f>COUNTIFS('Парк NTE (SAP)'!$I$10:$I$271,"&gt;="&amp;A99,'Парк NTE (SAP)'!$I$10:$I$271,"&lt;="&amp;EOMONTH(A99,0))</f>
        <v>0</v>
      </c>
      <c r="E99" s="36">
        <f>SUMPRODUCT(('Парк NTE (SAP)'!$B$10:$B$271="Полюс Красноярск")*('Парк NTE (SAP)'!$G$10:$G$271&lt;=EOMONTH(A99,0))*('Парк NTE (SAP)'!$I$10:$I$271&gt;=A99))</f>
        <v>0</v>
      </c>
      <c r="F99" s="37">
        <f>SUMPRODUCT(('Парк NTE (SAP)'!$B$10:$B$271="Полюс Сухой Лог")*('Парк NTE (SAP)'!$G$10:$G$271&lt;=EOMONTH(A99,0))*('Парк NTE (SAP)'!$I$10:$I$271&gt;=A99))</f>
        <v>0</v>
      </c>
      <c r="G99" s="38">
        <f>SUMPRODUCT(('Парк NTE (SAP)'!$B$10:$B$271="Полюс Магадан")*('Парк NTE (SAP)'!$G$10:$G$271&lt;=EOMONTH(A99,0))*('Парк NTE (SAP)'!$I$10:$I$271&gt;=A99))</f>
        <v>0</v>
      </c>
      <c r="H99" s="39">
        <f>E99+F99+G99</f>
        <v>0</v>
      </c>
      <c r="I99" s="36">
        <f>ROUNDUP(E99/$E$4,0)</f>
        <v>0</v>
      </c>
      <c r="J99" s="37">
        <f>ROUNDUP(F99/$E$4,0)</f>
        <v>0</v>
      </c>
      <c r="K99" s="38">
        <f>ROUNDUP(G99/$E$4,0)</f>
        <v>0</v>
      </c>
      <c r="L99" s="14">
        <f>(I99+J99+K99)*$E$5</f>
        <v>0</v>
      </c>
      <c r="M99" s="14">
        <f>(I99+J99+K99)*$E$6</f>
        <v>0</v>
      </c>
      <c r="N99" s="14">
        <f>(I99+J99+K99)*$E$7</f>
        <v>0</v>
      </c>
    </row>
    <row r="100">
      <c r="A100" s="35" t="n">
        <v>48000</v>
      </c>
      <c r="B100" s="10">
        <f>YEAR(A100)</f>
        <v>2031</v>
      </c>
      <c r="C100" s="10">
        <f>COUNTIFS('Парк NTE (SAP)'!$G$10:$G$271,"&gt;="&amp;A100,'Парк NTE (SAP)'!$G$10:$G$271,"&lt;="&amp;EOMONTH(A100,0))</f>
        <v>0</v>
      </c>
      <c r="D100" s="10">
        <f>COUNTIFS('Парк NTE (SAP)'!$I$10:$I$271,"&gt;="&amp;A100,'Парк NTE (SAP)'!$I$10:$I$271,"&lt;="&amp;EOMONTH(A100,0))</f>
        <v>0</v>
      </c>
      <c r="E100" s="36">
        <f>SUMPRODUCT(('Парк NTE (SAP)'!$B$10:$B$271="Полюс Красноярск")*('Парк NTE (SAP)'!$G$10:$G$271&lt;=EOMONTH(A100,0))*('Парк NTE (SAP)'!$I$10:$I$271&gt;=A100))</f>
        <v>0</v>
      </c>
      <c r="F100" s="37">
        <f>SUMPRODUCT(('Парк NTE (SAP)'!$B$10:$B$271="Полюс Сухой Лог")*('Парк NTE (SAP)'!$G$10:$G$271&lt;=EOMONTH(A100,0))*('Парк NTE (SAP)'!$I$10:$I$271&gt;=A100))</f>
        <v>0</v>
      </c>
      <c r="G100" s="38">
        <f>SUMPRODUCT(('Парк NTE (SAP)'!$B$10:$B$271="Полюс Магадан")*('Парк NTE (SAP)'!$G$10:$G$271&lt;=EOMONTH(A100,0))*('Парк NTE (SAP)'!$I$10:$I$271&gt;=A100))</f>
        <v>0</v>
      </c>
      <c r="H100" s="39">
        <f>E100+F100+G100</f>
        <v>0</v>
      </c>
      <c r="I100" s="36">
        <f>ROUNDUP(E100/$E$4,0)</f>
        <v>0</v>
      </c>
      <c r="J100" s="37">
        <f>ROUNDUP(F100/$E$4,0)</f>
        <v>0</v>
      </c>
      <c r="K100" s="38">
        <f>ROUNDUP(G100/$E$4,0)</f>
        <v>0</v>
      </c>
      <c r="L100" s="14">
        <f>(I100+J100+K100)*$E$5</f>
        <v>0</v>
      </c>
      <c r="M100" s="14">
        <f>(I100+J100+K100)*$E$6</f>
        <v>0</v>
      </c>
      <c r="N100" s="14">
        <f>(I100+J100+K100)*$E$7</f>
        <v>0</v>
      </c>
    </row>
    <row r="102">
      <c r="A102" s="40" t="inlineStr">
        <is>
          <t>ПИК (максимум)</t>
        </is>
      </c>
      <c r="E102" s="41">
        <f>MAX(E12:E100)</f>
        <v>53</v>
      </c>
      <c r="F102" s="41">
        <f>MAX(F12:F100)</f>
        <v>76</v>
      </c>
      <c r="G102" s="41">
        <f>MAX(G12:G100)</f>
        <v>34</v>
      </c>
      <c r="H102" s="41">
        <f>MAX(H12:H100)</f>
        <v>106</v>
      </c>
      <c r="L102" s="41">
        <f>MAX(L12:L100)</f>
        <v>12</v>
      </c>
      <c r="M102" s="41">
        <f>MAX(M12:M100)</f>
        <v>24</v>
      </c>
      <c r="N102" s="41">
        <f>MAX(N12:N100)</f>
        <v>12</v>
      </c>
    </row>
  </sheetData>
  <mergeCells count="7">
    <mergeCell ref="A5:D5"/>
    <mergeCell ref="A9:N9"/>
    <mergeCell ref="A6:D6"/>
    <mergeCell ref="A4:D4"/>
    <mergeCell ref="A7:D7"/>
    <mergeCell ref="A3:F3"/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2026-07-19T18:10:52Z</dcterms:created>
  <dcterms:modified xsi:type="dcterms:W3CDTF">2026-07-19T18:10:52Z</dcterms:modified>
</cp:coreProperties>
</file>