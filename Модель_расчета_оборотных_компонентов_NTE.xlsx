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арк NTE" sheetId="2" state="visible" r:id="rId2"/>
    <sheet name="Расчёт по месяц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 YYYY"/>
    <numFmt numFmtId="167" formatCode="ММ.ГГГГ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000FF"/>
      <sz val="10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0" fillId="6" borderId="4" pivotButton="0" quotePrefix="0" xfId="0"/>
    <xf numFmtId="0" fontId="0" fillId="6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/>
    </xf>
    <xf numFmtId="0" fontId="0" fillId="13" borderId="4" pivotButton="0" quotePrefix="0" xfId="0"/>
    <xf numFmtId="0" fontId="0" fillId="13" borderId="5" pivotButton="0" quotePrefix="0" xfId="0"/>
    <xf numFmtId="0" fontId="5" fillId="13" borderId="1" applyAlignment="1" pivotButton="0" quotePrefix="0" xfId="0">
      <alignment horizontal="center" vertical="center" wrapText="1"/>
    </xf>
    <xf numFmtId="167" fontId="6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4" borderId="1" pivotButton="0" quotePrefix="0" xfId="0"/>
    <xf numFmtId="165" fontId="4" fillId="0" borderId="1" pivotButton="0" quotePrefix="0" xfId="0"/>
    <xf numFmtId="0" fontId="4" fillId="5" borderId="1" pivotButton="0" quotePrefix="0" xfId="0"/>
    <xf numFmtId="0" fontId="5" fillId="6" borderId="1" pivotButton="0" quotePrefix="0" xfId="0"/>
    <xf numFmtId="0" fontId="0" fillId="6" borderId="1" pivotButton="0" quotePrefix="0" xfId="0"/>
    <xf numFmtId="0" fontId="5" fillId="6" borderId="1" applyAlignment="1" pivotButton="0" quotePrefix="0" xfId="0">
      <alignment horizontal="right" vertical="center"/>
    </xf>
    <xf numFmtId="0" fontId="5" fillId="7" borderId="0" applyAlignment="1" pivotButton="0" quotePrefix="0" xfId="0">
      <alignment horizontal="left" vertical="center"/>
    </xf>
    <xf numFmtId="0" fontId="4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6" borderId="0" pivotButton="0" quotePrefix="0" xfId="0"/>
    <xf numFmtId="0" fontId="5" fillId="1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Самосвалы NTE на гарантии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'Расчёт по месяцам'!E11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месяцам'!$A$12:$A$64</f>
            </numRef>
          </cat>
          <val>
            <numRef>
              <f>'Расчёт по месяцам'!$E$12:$E$64</f>
            </numRef>
          </val>
        </ser>
        <ser>
          <idx val="1"/>
          <order val="1"/>
          <tx>
            <strRef>
              <f>'Расчёт по месяцам'!F11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месяцам'!$A$12:$A$64</f>
            </numRef>
          </cat>
          <val>
            <numRef>
              <f>'Расчёт по месяцам'!$F$12:$F$64</f>
            </numRef>
          </val>
        </ser>
        <ser>
          <idx val="2"/>
          <order val="2"/>
          <tx>
            <strRef>
              <f>'Расчёт по месяцам'!G11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месяцам'!$A$12:$A$64</f>
            </numRef>
          </cat>
          <val>
            <numRef>
              <f>'Расчёт по месяцам'!$G$12:$G$64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Кол-во машин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Потребность в оборотных компонентах, шт</a:t>
            </a:r>
          </a:p>
        </rich>
      </tx>
    </title>
    <plotArea>
      <lineChart>
        <grouping val="standard"/>
        <ser>
          <idx val="0"/>
          <order val="0"/>
          <tx>
            <strRef>
              <f>'Расчёт по месяцам'!J11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месяцам'!$A$12:$A$64</f>
            </numRef>
          </cat>
          <val>
            <numRef>
              <f>'Расчёт по месяцам'!$J$12:$J$64</f>
            </numRef>
          </val>
        </ser>
        <ser>
          <idx val="1"/>
          <order val="1"/>
          <tx>
            <strRef>
              <f>'Расчёт по месяцам'!K11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месяцам'!$A$12:$A$64</f>
            </numRef>
          </cat>
          <val>
            <numRef>
              <f>'Расчёт по месяцам'!$K$12:$K$64</f>
            </numRef>
          </val>
        </ser>
        <ser>
          <idx val="2"/>
          <order val="2"/>
          <tx>
            <strRef>
              <f>'Расчёт по месяцам'!L11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'Расчёт по месяцам'!$A$12:$A$64</f>
            </numRef>
          </cat>
          <val>
            <numRef>
              <f>'Расчёт по месяцам'!$L$12:$L$64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6" customWidth="1" min="4" max="4"/>
  </cols>
  <sheetData>
    <row r="1" ht="24" customHeight="1">
      <c r="A1" s="1" t="inlineStr">
        <is>
          <t>СВОДКА ПО ОБОРОТНОМУ ФОНДУ ГАРАНТИЙНЫХ КОМПОНЕНТОВ NTE</t>
        </is>
      </c>
    </row>
    <row r="3">
      <c r="A3" s="2" t="inlineStr">
        <is>
          <t>Парк на гарантии</t>
        </is>
      </c>
    </row>
    <row r="4">
      <c r="A4" s="3" t="inlineStr">
        <is>
          <t>Всего электрических самосвалов NTE в базе</t>
        </is>
      </c>
      <c r="B4" s="4" t="n"/>
      <c r="C4" s="5" t="n"/>
      <c r="D4" s="6">
        <f>'Парк NTE'!E135</f>
        <v>130</v>
      </c>
    </row>
    <row r="5">
      <c r="A5" s="3" t="inlineStr">
        <is>
          <t>в т.ч. Красноярск (NTE240)</t>
        </is>
      </c>
      <c r="B5" s="4" t="n"/>
      <c r="C5" s="5" t="n"/>
      <c r="D5" s="6">
        <f>COUNTIF('Парк NTE'!$B$5:$B$134,"Полюс Красноярск")</f>
        <v>83</v>
      </c>
    </row>
    <row r="6">
      <c r="A6" s="3" t="inlineStr">
        <is>
          <t>в т.ч. Магадан (NTE200)</t>
        </is>
      </c>
      <c r="B6" s="4" t="n"/>
      <c r="C6" s="5" t="n"/>
      <c r="D6" s="6">
        <f>COUNTIF('Парк NTE'!$B$5:$B$134,"Полюс Магадан")</f>
        <v>47</v>
      </c>
    </row>
    <row r="8">
      <c r="A8" s="2" t="inlineStr">
        <is>
          <t>Пиковая одновременная гарантия и потребность</t>
        </is>
      </c>
    </row>
    <row r="9">
      <c r="A9" s="7" t="inlineStr">
        <is>
          <t>Пик машин на гарантии (одновременно)</t>
        </is>
      </c>
      <c r="B9" s="8" t="n"/>
      <c r="C9" s="9" t="n"/>
      <c r="D9" s="10">
        <f>MAX('Расчёт по месяцам'!G12:G64)</f>
        <v>77</v>
      </c>
    </row>
    <row r="10">
      <c r="A10" s="3" t="inlineStr">
        <is>
          <t>Месяц пика</t>
        </is>
      </c>
      <c r="B10" s="4" t="n"/>
      <c r="C10" s="5" t="n"/>
      <c r="D10" s="6" t="str">
        <f>TEXT(INDEX('Расчёт по месяцам'!A12:A64,MATCH(MAX('Расчёт по месяцам'!G12:G64),'Расчёт по месяцам'!G12:G64,0)),"ММ.ГГГГ")</f>
        <v>02.2025</v>
      </c>
    </row>
    <row r="11">
      <c r="A11" s="11" t="inlineStr">
        <is>
          <t>Пик потребности: ДВС, шт</t>
        </is>
      </c>
      <c r="B11" s="12" t="n"/>
      <c r="C11" s="13" t="n"/>
      <c r="D11" s="14">
        <f>MAX('Расчёт по месяцам'!J12:J64)</f>
        <v>9</v>
      </c>
    </row>
    <row r="12">
      <c r="A12" s="11" t="inlineStr">
        <is>
          <t>Пик потребности: Мотор-колёса, шт</t>
        </is>
      </c>
      <c r="B12" s="12" t="n"/>
      <c r="C12" s="13" t="n"/>
      <c r="D12" s="14">
        <f>MAX('Расчёт по месяцам'!K12:K64)</f>
        <v>18</v>
      </c>
    </row>
    <row r="13">
      <c r="A13" s="11" t="inlineStr">
        <is>
          <t>Пик потребности: Силовой генератор, шт</t>
        </is>
      </c>
      <c r="B13" s="12" t="n"/>
      <c r="C13" s="13" t="n"/>
      <c r="D13" s="14">
        <f>MAX('Расчёт по месяцам'!L12:L64)</f>
        <v>9</v>
      </c>
    </row>
    <row r="15">
      <c r="A15" s="2" t="inlineStr">
        <is>
          <t>Текущий месяц</t>
        </is>
      </c>
    </row>
    <row r="16">
      <c r="A16" s="3" t="inlineStr">
        <is>
          <t>Расчётный месяц (1-е число)</t>
        </is>
      </c>
      <c r="B16" s="4" t="n"/>
      <c r="C16" s="5" t="n"/>
      <c r="D16" s="15">
        <f>DATE(YEAR(TODAY()),MONTH(TODAY()),1)</f>
        <v>46204</v>
      </c>
    </row>
    <row r="17">
      <c r="A17" s="7" t="inlineStr">
        <is>
          <t>Машин на гарантии (текущий месяц)</t>
        </is>
      </c>
      <c r="B17" s="8" t="n"/>
      <c r="C17" s="9" t="n"/>
      <c r="D17" s="10">
        <f>INDEX('Расчёт по месяцам'!G12:G64,MATCH($D$16,'Расчёт по месяцам'!A12:A64,0))</f>
        <v>37</v>
      </c>
    </row>
    <row r="18">
      <c r="A18" s="16" t="inlineStr">
        <is>
          <t>ДВС требуется (текущий месяц), шт</t>
        </is>
      </c>
      <c r="B18" s="4" t="n"/>
      <c r="C18" s="5" t="n"/>
      <c r="D18" s="17">
        <f>INDEX('Расчёт по месяцам'!J12:J64,MATCH($D$16,'Расчёт по месяцам'!A12:A64,0))</f>
        <v>5</v>
      </c>
    </row>
    <row r="19">
      <c r="A19" s="16" t="inlineStr">
        <is>
          <t>Мотор-колёса требуется (текущий месяц), шт</t>
        </is>
      </c>
      <c r="B19" s="4" t="n"/>
      <c r="C19" s="5" t="n"/>
      <c r="D19" s="17">
        <f>INDEX('Расчёт по месяцам'!K12:K64,MATCH($D$16,'Расчёт по месяцам'!A12:A64,0))</f>
        <v>10</v>
      </c>
    </row>
    <row r="20">
      <c r="A20" s="16" t="inlineStr">
        <is>
          <t>Силовой генератор требуется (текущий месяц), шт</t>
        </is>
      </c>
      <c r="B20" s="4" t="n"/>
      <c r="C20" s="5" t="n"/>
      <c r="D20" s="17">
        <f>INDEX('Расчёт по месяцам'!L12:L64,MATCH($D$16,'Расчёт по месяцам'!A12:A64,0))</f>
        <v>5</v>
      </c>
    </row>
  </sheetData>
  <mergeCells count="17">
    <mergeCell ref="A10:C10"/>
    <mergeCell ref="A1:D1"/>
    <mergeCell ref="A13:C13"/>
    <mergeCell ref="A8:D8"/>
    <mergeCell ref="A11:C11"/>
    <mergeCell ref="A19:C19"/>
    <mergeCell ref="A5:C5"/>
    <mergeCell ref="A3:D3"/>
    <mergeCell ref="A6:C6"/>
    <mergeCell ref="A17:C17"/>
    <mergeCell ref="A9:C9"/>
    <mergeCell ref="A15:D15"/>
    <mergeCell ref="A18:C18"/>
    <mergeCell ref="A12:C12"/>
    <mergeCell ref="A4:C4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22" customWidth="1" min="4" max="4"/>
    <col width="12" customWidth="1" min="5" max="5"/>
    <col width="16" customWidth="1" min="6" max="6"/>
    <col width="16" customWidth="1" min="7" max="7"/>
    <col width="12" customWidth="1" min="8" max="8"/>
  </cols>
  <sheetData>
    <row r="1" ht="24" customHeight="1">
      <c r="A1" s="1" t="inlineStr">
        <is>
          <t>ПАРК ЭЛЕКТРИЧЕСКИХ САМОСВАЛОВ NHL NTE — БАЗА ДЛЯ РАСЧЁТА ГАРАНТИИ</t>
        </is>
      </c>
    </row>
    <row r="2" ht="42" customHeight="1">
      <c r="A2" s="18" t="inlineStr">
        <is>
          <t>Источник: «Парк машин ГЕ (NTE и TR) — гарантия Полюс на Апрель 2026 г». Учтены только электрические самосвалы NTE (NTE240 Красноярск — 83 шт., NTE200 Магадан — 47 шт.), имеющие мотор-колёса, ДВС и силовой генератор. Механические TR100A (трансмиссия Allison) не имеют этих компонентов и в расчёт не включены.</t>
        </is>
      </c>
    </row>
    <row r="4">
      <c r="A4" s="19" t="inlineStr">
        <is>
          <t>№</t>
        </is>
      </c>
      <c r="B4" s="19" t="inlineStr">
        <is>
          <t>Площадка</t>
        </is>
      </c>
      <c r="C4" s="19" t="inlineStr">
        <is>
          <t>Модель</t>
        </is>
      </c>
      <c r="D4" s="19" t="inlineStr">
        <is>
          <t>Заводской №</t>
        </is>
      </c>
      <c r="E4" s="19" t="inlineStr">
        <is>
          <t>Хоз. №</t>
        </is>
      </c>
      <c r="F4" s="19" t="inlineStr">
        <is>
          <t>Дата ввода в эксплуатацию</t>
        </is>
      </c>
      <c r="G4" s="19" t="inlineStr">
        <is>
          <t>Дата окончания гарантии</t>
        </is>
      </c>
      <c r="H4" s="19" t="inlineStr">
        <is>
          <t>Гарантия, мес</t>
        </is>
      </c>
    </row>
    <row r="5">
      <c r="A5" s="20" t="n">
        <v>1</v>
      </c>
      <c r="B5" s="21" t="inlineStr">
        <is>
          <t>Полюс Магадан</t>
        </is>
      </c>
      <c r="C5" s="20" t="inlineStr">
        <is>
          <t>NTE200</t>
        </is>
      </c>
      <c r="D5" s="20" t="inlineStr">
        <is>
          <t>NHLT0ABAVPB100085</t>
        </is>
      </c>
      <c r="E5" s="20" t="inlineStr">
        <is>
          <t>47</t>
        </is>
      </c>
      <c r="F5" s="22" t="n">
        <v>45326</v>
      </c>
      <c r="G5" s="22" t="n">
        <v>45691</v>
      </c>
      <c r="H5" s="6">
        <f>ROUND((G5-F5)/30.44,0)</f>
        <v>12</v>
      </c>
    </row>
    <row r="6">
      <c r="A6" s="20" t="n">
        <v>2</v>
      </c>
      <c r="B6" s="21" t="inlineStr">
        <is>
          <t>Полюс Магадан</t>
        </is>
      </c>
      <c r="C6" s="20" t="inlineStr">
        <is>
          <t>NTE200</t>
        </is>
      </c>
      <c r="D6" s="20" t="inlineStr">
        <is>
          <t>NHLT0ABATPB100080</t>
        </is>
      </c>
      <c r="E6" s="20" t="inlineStr">
        <is>
          <t>45</t>
        </is>
      </c>
      <c r="F6" s="22" t="n">
        <v>45327</v>
      </c>
      <c r="G6" s="22" t="n">
        <v>45692</v>
      </c>
      <c r="H6" s="6">
        <f>ROUND((G6-F6)/30.44,0)</f>
        <v>12</v>
      </c>
    </row>
    <row r="7">
      <c r="A7" s="20" t="n">
        <v>3</v>
      </c>
      <c r="B7" s="21" t="inlineStr">
        <is>
          <t>Полюс Магадан</t>
        </is>
      </c>
      <c r="C7" s="20" t="inlineStr">
        <is>
          <t>NTE200</t>
        </is>
      </c>
      <c r="D7" s="20" t="inlineStr">
        <is>
          <t>NHLT0ABAAPB100086</t>
        </is>
      </c>
      <c r="E7" s="20" t="inlineStr">
        <is>
          <t>48</t>
        </is>
      </c>
      <c r="F7" s="22" t="n">
        <v>45329</v>
      </c>
      <c r="G7" s="22" t="n">
        <v>45694</v>
      </c>
      <c r="H7" s="6">
        <f>ROUND((G7-F7)/30.44,0)</f>
        <v>12</v>
      </c>
    </row>
    <row r="8">
      <c r="A8" s="20" t="n">
        <v>4</v>
      </c>
      <c r="B8" s="23" t="inlineStr">
        <is>
          <t>Полюс Красноярск</t>
        </is>
      </c>
      <c r="C8" s="20" t="inlineStr">
        <is>
          <t>NTE240</t>
        </is>
      </c>
      <c r="D8" s="20" t="inlineStr">
        <is>
          <t xml:space="preserve">NHLTBABAVPB200021 </t>
        </is>
      </c>
      <c r="E8" s="20" t="inlineStr">
        <is>
          <t>201</t>
        </is>
      </c>
      <c r="F8" s="22" t="n">
        <v>45341</v>
      </c>
      <c r="G8" s="22" t="n">
        <v>45706</v>
      </c>
      <c r="H8" s="6">
        <f>ROUND((G8-F8)/30.44,0)</f>
        <v>12</v>
      </c>
    </row>
    <row r="9">
      <c r="A9" s="20" t="n">
        <v>5</v>
      </c>
      <c r="B9" s="21" t="inlineStr">
        <is>
          <t>Полюс Магадан</t>
        </is>
      </c>
      <c r="C9" s="20" t="inlineStr">
        <is>
          <t>NTE200</t>
        </is>
      </c>
      <c r="D9" s="20" t="inlineStr">
        <is>
          <t>NHLT0ABAРPB100078</t>
        </is>
      </c>
      <c r="E9" s="20" t="inlineStr">
        <is>
          <t>43</t>
        </is>
      </c>
      <c r="F9" s="22" t="n">
        <v>45344</v>
      </c>
      <c r="G9" s="22" t="n">
        <v>45709</v>
      </c>
      <c r="H9" s="6">
        <f>ROUND((G9-F9)/30.44,0)</f>
        <v>12</v>
      </c>
    </row>
    <row r="10">
      <c r="A10" s="20" t="n">
        <v>6</v>
      </c>
      <c r="B10" s="21" t="inlineStr">
        <is>
          <t>Полюс Магадан</t>
        </is>
      </c>
      <c r="C10" s="20" t="inlineStr">
        <is>
          <t>NTE200</t>
        </is>
      </c>
      <c r="D10" s="20" t="inlineStr">
        <is>
          <t>NHLT0ABAСPB100084</t>
        </is>
      </c>
      <c r="E10" s="20" t="inlineStr">
        <is>
          <t>46</t>
        </is>
      </c>
      <c r="F10" s="22" t="n">
        <v>45345</v>
      </c>
      <c r="G10" s="22" t="n">
        <v>45710</v>
      </c>
      <c r="H10" s="6">
        <f>ROUND((G10-F10)/30.44,0)</f>
        <v>12</v>
      </c>
    </row>
    <row r="11">
      <c r="A11" s="20" t="n">
        <v>7</v>
      </c>
      <c r="B11" s="23" t="inlineStr">
        <is>
          <t>Полюс Красноярск</t>
        </is>
      </c>
      <c r="C11" s="20" t="inlineStr">
        <is>
          <t>NTE240</t>
        </is>
      </c>
      <c r="D11" s="20" t="inlineStr">
        <is>
          <t>NHLTBABACPB200026</t>
        </is>
      </c>
      <c r="E11" s="20" t="inlineStr">
        <is>
          <t>202</t>
        </is>
      </c>
      <c r="F11" s="22" t="n">
        <v>45347</v>
      </c>
      <c r="G11" s="22" t="n">
        <v>45712</v>
      </c>
      <c r="H11" s="6">
        <f>ROUND((G11-F11)/30.44,0)</f>
        <v>12</v>
      </c>
    </row>
    <row r="12">
      <c r="A12" s="20" t="n">
        <v>8</v>
      </c>
      <c r="B12" s="21" t="inlineStr">
        <is>
          <t>Полюс Магадан</t>
        </is>
      </c>
      <c r="C12" s="20" t="inlineStr">
        <is>
          <t>NTE200</t>
        </is>
      </c>
      <c r="D12" s="20" t="inlineStr">
        <is>
          <t>NHLT0ABAКPB100079</t>
        </is>
      </c>
      <c r="E12" s="20" t="inlineStr">
        <is>
          <t>44</t>
        </is>
      </c>
      <c r="F12" s="22" t="n">
        <v>45349</v>
      </c>
      <c r="G12" s="22" t="n">
        <v>45714</v>
      </c>
      <c r="H12" s="6">
        <f>ROUND((G12-F12)/30.44,0)</f>
        <v>12</v>
      </c>
    </row>
    <row r="13">
      <c r="A13" s="20" t="n">
        <v>9</v>
      </c>
      <c r="B13" s="23" t="inlineStr">
        <is>
          <t>Полюс Красноярск</t>
        </is>
      </c>
      <c r="C13" s="20" t="inlineStr">
        <is>
          <t>NTE240</t>
        </is>
      </c>
      <c r="D13" s="20" t="inlineStr">
        <is>
          <t>NHLTBABACPB200017</t>
        </is>
      </c>
      <c r="E13" s="20" t="inlineStr">
        <is>
          <t>203</t>
        </is>
      </c>
      <c r="F13" s="22" t="n">
        <v>45355</v>
      </c>
      <c r="G13" s="22" t="n">
        <v>45719</v>
      </c>
      <c r="H13" s="6">
        <f>ROUND((G13-F13)/30.44,0)</f>
        <v>12</v>
      </c>
    </row>
    <row r="14">
      <c r="A14" s="20" t="n">
        <v>10</v>
      </c>
      <c r="B14" s="21" t="inlineStr">
        <is>
          <t>Полюс Магадан</t>
        </is>
      </c>
      <c r="C14" s="20" t="inlineStr">
        <is>
          <t>NTE200</t>
        </is>
      </c>
      <c r="D14" s="20" t="inlineStr">
        <is>
          <t>NHLT0ABAAPB100081</t>
        </is>
      </c>
      <c r="E14" s="20" t="inlineStr">
        <is>
          <t>49</t>
        </is>
      </c>
      <c r="F14" s="22" t="n">
        <v>45355</v>
      </c>
      <c r="G14" s="22" t="n">
        <v>45719</v>
      </c>
      <c r="H14" s="6">
        <f>ROUND((G14-F14)/30.44,0)</f>
        <v>12</v>
      </c>
    </row>
    <row r="15">
      <c r="A15" s="20" t="n">
        <v>11</v>
      </c>
      <c r="B15" s="21" t="inlineStr">
        <is>
          <t>Полюс Магадан</t>
        </is>
      </c>
      <c r="C15" s="20" t="inlineStr">
        <is>
          <t>NTE200</t>
        </is>
      </c>
      <c r="D15" s="20" t="inlineStr">
        <is>
          <t>NHLT0ABAAPB100082</t>
        </is>
      </c>
      <c r="E15" s="20" t="inlineStr">
        <is>
          <t>50</t>
        </is>
      </c>
      <c r="F15" s="22" t="n">
        <v>45358</v>
      </c>
      <c r="G15" s="22" t="n">
        <v>45722</v>
      </c>
      <c r="H15" s="6">
        <f>ROUND((G15-F15)/30.44,0)</f>
        <v>12</v>
      </c>
    </row>
    <row r="16">
      <c r="A16" s="20" t="n">
        <v>12</v>
      </c>
      <c r="B16" s="23" t="inlineStr">
        <is>
          <t>Полюс Красноярск</t>
        </is>
      </c>
      <c r="C16" s="20" t="inlineStr">
        <is>
          <t>NTE240</t>
        </is>
      </c>
      <c r="D16" s="20" t="inlineStr">
        <is>
          <t>NHLTBABAAPB200022</t>
        </is>
      </c>
      <c r="E16" s="20" t="inlineStr">
        <is>
          <t>204</t>
        </is>
      </c>
      <c r="F16" s="22" t="n">
        <v>45362</v>
      </c>
      <c r="G16" s="22" t="n">
        <v>45726</v>
      </c>
      <c r="H16" s="6">
        <f>ROUND((G16-F16)/30.44,0)</f>
        <v>12</v>
      </c>
    </row>
    <row r="17">
      <c r="A17" s="20" t="n">
        <v>13</v>
      </c>
      <c r="B17" s="21" t="inlineStr">
        <is>
          <t>Полюс Магадан</t>
        </is>
      </c>
      <c r="C17" s="20" t="inlineStr">
        <is>
          <t>NTE200</t>
        </is>
      </c>
      <c r="D17" s="20" t="inlineStr">
        <is>
          <t>NHLT0ABAAPB100087</t>
        </is>
      </c>
      <c r="E17" s="20" t="inlineStr">
        <is>
          <t>52</t>
        </is>
      </c>
      <c r="F17" s="22" t="n">
        <v>45363</v>
      </c>
      <c r="G17" s="22" t="n">
        <v>45727</v>
      </c>
      <c r="H17" s="6">
        <f>ROUND((G17-F17)/30.44,0)</f>
        <v>12</v>
      </c>
    </row>
    <row r="18">
      <c r="A18" s="20" t="n">
        <v>14</v>
      </c>
      <c r="B18" s="23" t="inlineStr">
        <is>
          <t>Полюс Красноярск</t>
        </is>
      </c>
      <c r="C18" s="20" t="inlineStr">
        <is>
          <t>NTE240</t>
        </is>
      </c>
      <c r="D18" s="20" t="inlineStr">
        <is>
          <t>NHLTBABAKPB200015</t>
        </is>
      </c>
      <c r="E18" s="20" t="inlineStr">
        <is>
          <t>205</t>
        </is>
      </c>
      <c r="F18" s="22" t="n">
        <v>45369</v>
      </c>
      <c r="G18" s="22" t="n">
        <v>45733</v>
      </c>
      <c r="H18" s="6">
        <f>ROUND((G18-F18)/30.44,0)</f>
        <v>12</v>
      </c>
    </row>
    <row r="19">
      <c r="A19" s="20" t="n">
        <v>15</v>
      </c>
      <c r="B19" s="23" t="inlineStr">
        <is>
          <t>Полюс Красноярск</t>
        </is>
      </c>
      <c r="C19" s="20" t="inlineStr">
        <is>
          <t>NTE240</t>
        </is>
      </c>
      <c r="D19" s="20" t="inlineStr">
        <is>
          <t>NHLTBABAСPB200020</t>
        </is>
      </c>
      <c r="E19" s="20" t="inlineStr">
        <is>
          <t>206</t>
        </is>
      </c>
      <c r="F19" s="22" t="n">
        <v>45376</v>
      </c>
      <c r="G19" s="22" t="n">
        <v>45740</v>
      </c>
      <c r="H19" s="6">
        <f>ROUND((G19-F19)/30.44,0)</f>
        <v>12</v>
      </c>
    </row>
    <row r="20">
      <c r="A20" s="20" t="n">
        <v>16</v>
      </c>
      <c r="B20" s="21" t="inlineStr">
        <is>
          <t>Полюс Магадан</t>
        </is>
      </c>
      <c r="C20" s="20" t="inlineStr">
        <is>
          <t>NTE200</t>
        </is>
      </c>
      <c r="D20" s="20" t="inlineStr">
        <is>
          <t>NHLT0ABAHPB100088</t>
        </is>
      </c>
      <c r="E20" s="20" t="inlineStr">
        <is>
          <t>53</t>
        </is>
      </c>
      <c r="F20" s="22" t="n">
        <v>45378</v>
      </c>
      <c r="G20" s="22" t="n">
        <v>45742</v>
      </c>
      <c r="H20" s="6">
        <f>ROUND((G20-F20)/30.44,0)</f>
        <v>12</v>
      </c>
    </row>
    <row r="21">
      <c r="A21" s="20" t="n">
        <v>17</v>
      </c>
      <c r="B21" s="21" t="inlineStr">
        <is>
          <t>Полюс Магадан</t>
        </is>
      </c>
      <c r="C21" s="20" t="inlineStr">
        <is>
          <t>NTE200</t>
        </is>
      </c>
      <c r="D21" s="20" t="inlineStr">
        <is>
          <t>NHLT0ABAJPB100083</t>
        </is>
      </c>
      <c r="E21" s="20" t="inlineStr">
        <is>
          <t>51</t>
        </is>
      </c>
      <c r="F21" s="22" t="n">
        <v>45379</v>
      </c>
      <c r="G21" s="22" t="n">
        <v>45743</v>
      </c>
      <c r="H21" s="6">
        <f>ROUND((G21-F21)/30.44,0)</f>
        <v>12</v>
      </c>
    </row>
    <row r="22">
      <c r="A22" s="20" t="n">
        <v>18</v>
      </c>
      <c r="B22" s="23" t="inlineStr">
        <is>
          <t>Полюс Красноярск</t>
        </is>
      </c>
      <c r="C22" s="20" t="inlineStr">
        <is>
          <t>NTE240</t>
        </is>
      </c>
      <c r="D22" s="20" t="inlineStr">
        <is>
          <t>NHLTBABAEPB200025</t>
        </is>
      </c>
      <c r="E22" s="20" t="inlineStr">
        <is>
          <t>208</t>
        </is>
      </c>
      <c r="F22" s="22" t="n">
        <v>45380</v>
      </c>
      <c r="G22" s="22" t="n">
        <v>45744</v>
      </c>
      <c r="H22" s="6">
        <f>ROUND((G22-F22)/30.44,0)</f>
        <v>12</v>
      </c>
    </row>
    <row r="23">
      <c r="A23" s="20" t="n">
        <v>19</v>
      </c>
      <c r="B23" s="23" t="inlineStr">
        <is>
          <t>Полюс Красноярск</t>
        </is>
      </c>
      <c r="C23" s="20" t="inlineStr">
        <is>
          <t>NTE240</t>
        </is>
      </c>
      <c r="D23" s="20" t="inlineStr">
        <is>
          <t>NHLTBABAHPB200024</t>
        </is>
      </c>
      <c r="E23" s="20" t="inlineStr">
        <is>
          <t>209</t>
        </is>
      </c>
      <c r="F23" s="22" t="n">
        <v>45383</v>
      </c>
      <c r="G23" s="22" t="n">
        <v>45747</v>
      </c>
      <c r="H23" s="6">
        <f>ROUND((G23-F23)/30.44,0)</f>
        <v>12</v>
      </c>
    </row>
    <row r="24">
      <c r="A24" s="20" t="n">
        <v>20</v>
      </c>
      <c r="B24" s="23" t="inlineStr">
        <is>
          <t>Полюс Красноярск</t>
        </is>
      </c>
      <c r="C24" s="20" t="inlineStr">
        <is>
          <t>NTE240</t>
        </is>
      </c>
      <c r="D24" s="20" t="inlineStr">
        <is>
          <t>NHLTBABAKPB200032</t>
        </is>
      </c>
      <c r="E24" s="20" t="inlineStr">
        <is>
          <t>207</t>
        </is>
      </c>
      <c r="F24" s="22" t="n">
        <v>45389</v>
      </c>
      <c r="G24" s="22" t="n">
        <v>45753</v>
      </c>
      <c r="H24" s="6">
        <f>ROUND((G24-F24)/30.44,0)</f>
        <v>12</v>
      </c>
    </row>
    <row r="25">
      <c r="A25" s="20" t="n">
        <v>21</v>
      </c>
      <c r="B25" s="21" t="inlineStr">
        <is>
          <t>Полюс Магадан</t>
        </is>
      </c>
      <c r="C25" s="20" t="inlineStr">
        <is>
          <t>NTE200</t>
        </is>
      </c>
      <c r="D25" s="20" t="inlineStr">
        <is>
          <t xml:space="preserve">NHLT0ABAEPB100089 </t>
        </is>
      </c>
      <c r="E25" s="20" t="inlineStr">
        <is>
          <t>54</t>
        </is>
      </c>
      <c r="F25" s="22" t="n">
        <v>45391</v>
      </c>
      <c r="G25" s="22" t="n">
        <v>45755</v>
      </c>
      <c r="H25" s="6">
        <f>ROUND((G25-F25)/30.44,0)</f>
        <v>12</v>
      </c>
    </row>
    <row r="26">
      <c r="A26" s="20" t="n">
        <v>22</v>
      </c>
      <c r="B26" s="23" t="inlineStr">
        <is>
          <t>Полюс Красноярск</t>
        </is>
      </c>
      <c r="C26" s="20" t="inlineStr">
        <is>
          <t>NTE240</t>
        </is>
      </c>
      <c r="D26" s="20" t="inlineStr">
        <is>
          <t>NHLTBABALPB200023</t>
        </is>
      </c>
      <c r="E26" s="20" t="inlineStr">
        <is>
          <t>210</t>
        </is>
      </c>
      <c r="F26" s="22" t="n">
        <v>45393</v>
      </c>
      <c r="G26" s="22" t="n">
        <v>45757</v>
      </c>
      <c r="H26" s="6">
        <f>ROUND((G26-F26)/30.44,0)</f>
        <v>12</v>
      </c>
    </row>
    <row r="27">
      <c r="A27" s="20" t="n">
        <v>23</v>
      </c>
      <c r="B27" s="21" t="inlineStr">
        <is>
          <t>Полюс Магадан</t>
        </is>
      </c>
      <c r="C27" s="20" t="inlineStr">
        <is>
          <t>NTE200</t>
        </is>
      </c>
      <c r="D27" s="20" t="inlineStr">
        <is>
          <t>NHLT0ABAKPB100096</t>
        </is>
      </c>
      <c r="E27" s="20" t="inlineStr">
        <is>
          <t>55</t>
        </is>
      </c>
      <c r="F27" s="22" t="n">
        <v>45394</v>
      </c>
      <c r="G27" s="22" t="n">
        <v>45758</v>
      </c>
      <c r="H27" s="6">
        <f>ROUND((G27-F27)/30.44,0)</f>
        <v>12</v>
      </c>
    </row>
    <row r="28">
      <c r="A28" s="20" t="n">
        <v>24</v>
      </c>
      <c r="B28" s="23" t="inlineStr">
        <is>
          <t>Полюс Красноярск</t>
        </is>
      </c>
      <c r="C28" s="20" t="inlineStr">
        <is>
          <t>NTE240</t>
        </is>
      </c>
      <c r="D28" s="20" t="inlineStr">
        <is>
          <t>NHLTBABAAPB200019</t>
        </is>
      </c>
      <c r="E28" s="20" t="inlineStr">
        <is>
          <t>211</t>
        </is>
      </c>
      <c r="F28" s="22" t="n">
        <v>45398</v>
      </c>
      <c r="G28" s="22" t="n">
        <v>45762</v>
      </c>
      <c r="H28" s="6">
        <f>ROUND((G28-F28)/30.44,0)</f>
        <v>12</v>
      </c>
    </row>
    <row r="29">
      <c r="A29" s="20" t="n">
        <v>25</v>
      </c>
      <c r="B29" s="21" t="inlineStr">
        <is>
          <t>Полюс Магадан</t>
        </is>
      </c>
      <c r="C29" s="20" t="inlineStr">
        <is>
          <t>NTE200</t>
        </is>
      </c>
      <c r="D29" s="20" t="inlineStr">
        <is>
          <t>NHLT0ABAHPB100091</t>
        </is>
      </c>
      <c r="E29" s="20" t="inlineStr">
        <is>
          <t>56</t>
        </is>
      </c>
      <c r="F29" s="22" t="n">
        <v>45399</v>
      </c>
      <c r="G29" s="22" t="n">
        <v>45763</v>
      </c>
      <c r="H29" s="6">
        <f>ROUND((G29-F29)/30.44,0)</f>
        <v>12</v>
      </c>
    </row>
    <row r="30">
      <c r="A30" s="20" t="n">
        <v>26</v>
      </c>
      <c r="B30" s="21" t="inlineStr">
        <is>
          <t>Полюс Магадан</t>
        </is>
      </c>
      <c r="C30" s="20" t="inlineStr">
        <is>
          <t>NTE200</t>
        </is>
      </c>
      <c r="D30" s="20" t="inlineStr">
        <is>
          <t>NHLT0ABATPB100094</t>
        </is>
      </c>
      <c r="E30" s="20" t="inlineStr">
        <is>
          <t>57</t>
        </is>
      </c>
      <c r="F30" s="22" t="n">
        <v>45405</v>
      </c>
      <c r="G30" s="22" t="n">
        <v>45769</v>
      </c>
      <c r="H30" s="6">
        <f>ROUND((G30-F30)/30.44,0)</f>
        <v>12</v>
      </c>
    </row>
    <row r="31">
      <c r="A31" s="20" t="n">
        <v>27</v>
      </c>
      <c r="B31" s="23" t="inlineStr">
        <is>
          <t>Полюс Красноярск</t>
        </is>
      </c>
      <c r="C31" s="20" t="inlineStr">
        <is>
          <t>NTE240</t>
        </is>
      </c>
      <c r="D31" s="20" t="inlineStr">
        <is>
          <t>NHLTBABATPB200027</t>
        </is>
      </c>
      <c r="E31" s="20" t="inlineStr">
        <is>
          <t>212</t>
        </is>
      </c>
      <c r="F31" s="22" t="n">
        <v>45412</v>
      </c>
      <c r="G31" s="22" t="n">
        <v>45776</v>
      </c>
      <c r="H31" s="6">
        <f>ROUND((G31-F31)/30.44,0)</f>
        <v>12</v>
      </c>
    </row>
    <row r="32">
      <c r="A32" s="20" t="n">
        <v>28</v>
      </c>
      <c r="B32" s="21" t="inlineStr">
        <is>
          <t>Полюс Магадан</t>
        </is>
      </c>
      <c r="C32" s="20" t="inlineStr">
        <is>
          <t>NTE200</t>
        </is>
      </c>
      <c r="D32" s="20" t="inlineStr">
        <is>
          <t>NHLT0ABAPPB100095</t>
        </is>
      </c>
      <c r="E32" s="20" t="inlineStr">
        <is>
          <t>58</t>
        </is>
      </c>
      <c r="F32" s="22" t="n">
        <v>45412</v>
      </c>
      <c r="G32" s="22" t="n">
        <v>45776</v>
      </c>
      <c r="H32" s="6">
        <f>ROUND((G32-F32)/30.44,0)</f>
        <v>12</v>
      </c>
    </row>
    <row r="33">
      <c r="A33" s="20" t="n">
        <v>29</v>
      </c>
      <c r="B33" s="23" t="inlineStr">
        <is>
          <t>Полюс Красноярск</t>
        </is>
      </c>
      <c r="C33" s="20" t="inlineStr">
        <is>
          <t>NTE240</t>
        </is>
      </c>
      <c r="D33" s="20" t="inlineStr">
        <is>
          <t>NHLTBABAPPB200028</t>
        </is>
      </c>
      <c r="E33" s="20" t="inlineStr">
        <is>
          <t>213</t>
        </is>
      </c>
      <c r="F33" s="22" t="n">
        <v>45416</v>
      </c>
      <c r="G33" s="22" t="n">
        <v>45780</v>
      </c>
      <c r="H33" s="6">
        <f>ROUND((G33-F33)/30.44,0)</f>
        <v>12</v>
      </c>
    </row>
    <row r="34">
      <c r="A34" s="20" t="n">
        <v>30</v>
      </c>
      <c r="B34" s="21" t="inlineStr">
        <is>
          <t>Полюс Магадан</t>
        </is>
      </c>
      <c r="C34" s="20" t="inlineStr">
        <is>
          <t>NTE200</t>
        </is>
      </c>
      <c r="D34" s="20" t="inlineStr">
        <is>
          <t>NHLT0ABACPB100098</t>
        </is>
      </c>
      <c r="E34" s="20" t="inlineStr">
        <is>
          <t>59</t>
        </is>
      </c>
      <c r="F34" s="22" t="n">
        <v>45416</v>
      </c>
      <c r="G34" s="22" t="n">
        <v>45780</v>
      </c>
      <c r="H34" s="6">
        <f>ROUND((G34-F34)/30.44,0)</f>
        <v>12</v>
      </c>
    </row>
    <row r="35">
      <c r="A35" s="20" t="n">
        <v>31</v>
      </c>
      <c r="B35" s="21" t="inlineStr">
        <is>
          <t>Полюс Магадан</t>
        </is>
      </c>
      <c r="C35" s="20" t="inlineStr">
        <is>
          <t>NTE200</t>
        </is>
      </c>
      <c r="D35" s="20" t="inlineStr">
        <is>
          <t>NHLT0ABATPB100077</t>
        </is>
      </c>
      <c r="E35" s="20" t="inlineStr">
        <is>
          <t>60</t>
        </is>
      </c>
      <c r="F35" s="22" t="n">
        <v>45417</v>
      </c>
      <c r="G35" s="22" t="n">
        <v>45781</v>
      </c>
      <c r="H35" s="6">
        <f>ROUND((G35-F35)/30.44,0)</f>
        <v>12</v>
      </c>
    </row>
    <row r="36">
      <c r="A36" s="20" t="n">
        <v>32</v>
      </c>
      <c r="B36" s="21" t="inlineStr">
        <is>
          <t>Полюс Магадан</t>
        </is>
      </c>
      <c r="C36" s="20" t="inlineStr">
        <is>
          <t>NTE200</t>
        </is>
      </c>
      <c r="D36" s="20" t="inlineStr">
        <is>
          <t>NHLT0ABAEPB100092</t>
        </is>
      </c>
      <c r="E36" s="20" t="inlineStr">
        <is>
          <t>61</t>
        </is>
      </c>
      <c r="F36" s="22" t="n">
        <v>45423</v>
      </c>
      <c r="G36" s="22" t="n">
        <v>45787</v>
      </c>
      <c r="H36" s="6">
        <f>ROUND((G36-F36)/30.44,0)</f>
        <v>12</v>
      </c>
    </row>
    <row r="37">
      <c r="A37" s="20" t="n">
        <v>33</v>
      </c>
      <c r="B37" s="23" t="inlineStr">
        <is>
          <t>Полюс Красноярск</t>
        </is>
      </c>
      <c r="C37" s="20" t="inlineStr">
        <is>
          <t>NTE240</t>
        </is>
      </c>
      <c r="D37" s="20" t="inlineStr">
        <is>
          <t>NHLTBABATPB200030</t>
        </is>
      </c>
      <c r="E37" s="20" t="inlineStr">
        <is>
          <t>214</t>
        </is>
      </c>
      <c r="F37" s="22" t="n">
        <v>45428</v>
      </c>
      <c r="G37" s="22" t="n">
        <v>45792</v>
      </c>
      <c r="H37" s="6">
        <f>ROUND((G37-F37)/30.44,0)</f>
        <v>12</v>
      </c>
    </row>
    <row r="38">
      <c r="A38" s="20" t="n">
        <v>34</v>
      </c>
      <c r="B38" s="23" t="inlineStr">
        <is>
          <t>Полюс Красноярск</t>
        </is>
      </c>
      <c r="C38" s="20" t="inlineStr">
        <is>
          <t>NTE240</t>
        </is>
      </c>
      <c r="D38" s="20" t="inlineStr">
        <is>
          <t>NHLTBABAKPB200029</t>
        </is>
      </c>
      <c r="E38" s="20" t="inlineStr">
        <is>
          <t>215</t>
        </is>
      </c>
      <c r="F38" s="22" t="n">
        <v>45428</v>
      </c>
      <c r="G38" s="22" t="n">
        <v>45792</v>
      </c>
      <c r="H38" s="6">
        <f>ROUND((G38-F38)/30.44,0)</f>
        <v>12</v>
      </c>
    </row>
    <row r="39">
      <c r="A39" s="20" t="n">
        <v>35</v>
      </c>
      <c r="B39" s="23" t="inlineStr">
        <is>
          <t>Полюс Красноярск</t>
        </is>
      </c>
      <c r="C39" s="20" t="inlineStr">
        <is>
          <t>NTE240</t>
        </is>
      </c>
      <c r="D39" s="20" t="inlineStr">
        <is>
          <t>NHLTBABACPB200034</t>
        </is>
      </c>
      <c r="E39" s="20" t="inlineStr">
        <is>
          <t>216</t>
        </is>
      </c>
      <c r="F39" s="22" t="n">
        <v>45437</v>
      </c>
      <c r="G39" s="22" t="n">
        <v>45801</v>
      </c>
      <c r="H39" s="6">
        <f>ROUND((G39-F39)/30.44,0)</f>
        <v>12</v>
      </c>
    </row>
    <row r="40">
      <c r="A40" s="20" t="n">
        <v>36</v>
      </c>
      <c r="B40" s="23" t="inlineStr">
        <is>
          <t>Полюс Красноярск</t>
        </is>
      </c>
      <c r="C40" s="20" t="inlineStr">
        <is>
          <t>NTE240</t>
        </is>
      </c>
      <c r="D40" s="20" t="inlineStr">
        <is>
          <t>NHLTBABAJPB200033</t>
        </is>
      </c>
      <c r="E40" s="20" t="inlineStr">
        <is>
          <t>217</t>
        </is>
      </c>
      <c r="F40" s="22" t="n">
        <v>45439</v>
      </c>
      <c r="G40" s="22" t="n">
        <v>45803</v>
      </c>
      <c r="H40" s="6">
        <f>ROUND((G40-F40)/30.44,0)</f>
        <v>12</v>
      </c>
    </row>
    <row r="41">
      <c r="A41" s="20" t="n">
        <v>37</v>
      </c>
      <c r="B41" s="23" t="inlineStr">
        <is>
          <t>Полюс Красноярск</t>
        </is>
      </c>
      <c r="C41" s="20" t="inlineStr">
        <is>
          <t>NTE240</t>
        </is>
      </c>
      <c r="D41" s="20" t="inlineStr">
        <is>
          <t>NHLTBABAVPB200035</t>
        </is>
      </c>
      <c r="E41" s="20" t="inlineStr">
        <is>
          <t>218</t>
        </is>
      </c>
      <c r="F41" s="22" t="n">
        <v>45446</v>
      </c>
      <c r="G41" s="22" t="n">
        <v>45810</v>
      </c>
      <c r="H41" s="6">
        <f>ROUND((G41-F41)/30.44,0)</f>
        <v>12</v>
      </c>
    </row>
    <row r="42">
      <c r="A42" s="20" t="n">
        <v>38</v>
      </c>
      <c r="B42" s="23" t="inlineStr">
        <is>
          <t>Полюс Красноярск</t>
        </is>
      </c>
      <c r="C42" s="20" t="inlineStr">
        <is>
          <t>NTE240</t>
        </is>
      </c>
      <c r="D42" s="20" t="inlineStr">
        <is>
          <t>NHLTBABALPB200040</t>
        </is>
      </c>
      <c r="E42" s="20" t="inlineStr">
        <is>
          <t>219</t>
        </is>
      </c>
      <c r="F42" s="22" t="n">
        <v>45453</v>
      </c>
      <c r="G42" s="22" t="n">
        <v>45817</v>
      </c>
      <c r="H42" s="6">
        <f>ROUND((G42-F42)/30.44,0)</f>
        <v>12</v>
      </c>
    </row>
    <row r="43">
      <c r="A43" s="20" t="n">
        <v>39</v>
      </c>
      <c r="B43" s="23" t="inlineStr">
        <is>
          <t>Полюс Красноярск</t>
        </is>
      </c>
      <c r="C43" s="20" t="inlineStr">
        <is>
          <t>NTE240</t>
        </is>
      </c>
      <c r="D43" s="20" t="inlineStr">
        <is>
          <t>NHLTBABAVPB200018</t>
        </is>
      </c>
      <c r="E43" s="20" t="inlineStr">
        <is>
          <t>220</t>
        </is>
      </c>
      <c r="F43" s="22" t="n">
        <v>45463</v>
      </c>
      <c r="G43" s="22" t="n">
        <v>45827</v>
      </c>
      <c r="H43" s="6">
        <f>ROUND((G43-F43)/30.44,0)</f>
        <v>12</v>
      </c>
    </row>
    <row r="44">
      <c r="A44" s="20" t="n">
        <v>40</v>
      </c>
      <c r="B44" s="23" t="inlineStr">
        <is>
          <t>Полюс Красноярск</t>
        </is>
      </c>
      <c r="C44" s="20" t="inlineStr">
        <is>
          <t>NTE240</t>
        </is>
      </c>
      <c r="D44" s="20" t="inlineStr">
        <is>
          <t>NHLTBABALPB200037</t>
        </is>
      </c>
      <c r="E44" s="20" t="inlineStr">
        <is>
          <t>221</t>
        </is>
      </c>
      <c r="F44" s="22" t="n">
        <v>45464</v>
      </c>
      <c r="G44" s="22" t="n">
        <v>45828</v>
      </c>
      <c r="H44" s="6">
        <f>ROUND((G44-F44)/30.44,0)</f>
        <v>12</v>
      </c>
    </row>
    <row r="45">
      <c r="A45" s="20" t="n">
        <v>41</v>
      </c>
      <c r="B45" s="21" t="inlineStr">
        <is>
          <t>Полюс Магадан</t>
        </is>
      </c>
      <c r="C45" s="20" t="inlineStr">
        <is>
          <t>NTE200</t>
        </is>
      </c>
      <c r="D45" s="20" t="inlineStr">
        <is>
          <t>NHLT0ABACPB100093</t>
        </is>
      </c>
      <c r="E45" s="20" t="inlineStr">
        <is>
          <t>62</t>
        </is>
      </c>
      <c r="F45" s="22" t="n">
        <v>45464</v>
      </c>
      <c r="G45" s="22" t="n">
        <v>45828</v>
      </c>
      <c r="H45" s="6">
        <f>ROUND((G45-F45)/30.44,0)</f>
        <v>12</v>
      </c>
    </row>
    <row r="46">
      <c r="A46" s="20" t="n">
        <v>42</v>
      </c>
      <c r="B46" s="23" t="inlineStr">
        <is>
          <t>Полюс Красноярск</t>
        </is>
      </c>
      <c r="C46" s="20" t="inlineStr">
        <is>
          <t>NTE240</t>
        </is>
      </c>
      <c r="D46" s="20" t="inlineStr">
        <is>
          <t xml:space="preserve">NHLTBABAEPB200039 </t>
        </is>
      </c>
      <c r="E46" s="20" t="inlineStr">
        <is>
          <t>223</t>
        </is>
      </c>
      <c r="F46" s="22" t="n">
        <v>45474</v>
      </c>
      <c r="G46" s="22" t="n">
        <v>45838</v>
      </c>
      <c r="H46" s="6">
        <f>ROUND((G46-F46)/30.44,0)</f>
        <v>12</v>
      </c>
    </row>
    <row r="47">
      <c r="A47" s="20" t="n">
        <v>43</v>
      </c>
      <c r="B47" s="23" t="inlineStr">
        <is>
          <t>Полюс Красноярск</t>
        </is>
      </c>
      <c r="C47" s="20" t="inlineStr">
        <is>
          <t>NTE240</t>
        </is>
      </c>
      <c r="D47" s="20" t="inlineStr">
        <is>
          <t>NHLTBABAAPB200036</t>
        </is>
      </c>
      <c r="E47" s="20" t="inlineStr">
        <is>
          <t>222</t>
        </is>
      </c>
      <c r="F47" s="22" t="n">
        <v>45486</v>
      </c>
      <c r="G47" s="22" t="n">
        <v>45850</v>
      </c>
      <c r="H47" s="6">
        <f>ROUND((G47-F47)/30.44,0)</f>
        <v>12</v>
      </c>
    </row>
    <row r="48">
      <c r="A48" s="20" t="n">
        <v>44</v>
      </c>
      <c r="B48" s="23" t="inlineStr">
        <is>
          <t>Полюс Красноярск</t>
        </is>
      </c>
      <c r="C48" s="20" t="inlineStr">
        <is>
          <t>NTE240</t>
        </is>
      </c>
      <c r="D48" s="20" t="inlineStr">
        <is>
          <t>NHLTBABAHPB200038</t>
        </is>
      </c>
      <c r="E48" s="20" t="inlineStr">
        <is>
          <t>224</t>
        </is>
      </c>
      <c r="F48" s="22" t="n">
        <v>45496</v>
      </c>
      <c r="G48" s="22" t="n">
        <v>45860</v>
      </c>
      <c r="H48" s="6">
        <f>ROUND((G48-F48)/30.44,0)</f>
        <v>12</v>
      </c>
    </row>
    <row r="49">
      <c r="A49" s="20" t="n">
        <v>45</v>
      </c>
      <c r="B49" s="23" t="inlineStr">
        <is>
          <t>Полюс Красноярск</t>
        </is>
      </c>
      <c r="C49" s="20" t="inlineStr">
        <is>
          <t>NTE240</t>
        </is>
      </c>
      <c r="D49" s="20" t="inlineStr">
        <is>
          <t>NHLTBABAHPB200041</t>
        </is>
      </c>
      <c r="E49" s="20" t="inlineStr">
        <is>
          <t>225</t>
        </is>
      </c>
      <c r="F49" s="22" t="n">
        <v>45512</v>
      </c>
      <c r="G49" s="22" t="n">
        <v>45876</v>
      </c>
      <c r="H49" s="6">
        <f>ROUND((G49-F49)/30.44,0)</f>
        <v>12</v>
      </c>
    </row>
    <row r="50">
      <c r="A50" s="20" t="n">
        <v>46</v>
      </c>
      <c r="B50" s="23" t="inlineStr">
        <is>
          <t>Полюс Красноярск</t>
        </is>
      </c>
      <c r="C50" s="20" t="inlineStr">
        <is>
          <t>NTE240</t>
        </is>
      </c>
      <c r="D50" s="20" t="inlineStr">
        <is>
          <t>NHLTBABAPPB200031</t>
        </is>
      </c>
      <c r="E50" s="20" t="inlineStr">
        <is>
          <t>226</t>
        </is>
      </c>
      <c r="F50" s="22" t="n">
        <v>45521</v>
      </c>
      <c r="G50" s="22" t="n">
        <v>45885</v>
      </c>
      <c r="H50" s="6">
        <f>ROUND((G50-F50)/30.44,0)</f>
        <v>12</v>
      </c>
    </row>
    <row r="51">
      <c r="A51" s="20" t="n">
        <v>47</v>
      </c>
      <c r="B51" s="23" t="inlineStr">
        <is>
          <t>Полюс Красноярск</t>
        </is>
      </c>
      <c r="C51" s="20" t="inlineStr">
        <is>
          <t>NTE240</t>
        </is>
      </c>
      <c r="D51" s="20" t="inlineStr">
        <is>
          <t>NHLTBABATPB200044</t>
        </is>
      </c>
      <c r="E51" s="20" t="inlineStr">
        <is>
          <t>227</t>
        </is>
      </c>
      <c r="F51" s="22" t="n">
        <v>45530</v>
      </c>
      <c r="G51" s="22" t="n">
        <v>45894</v>
      </c>
      <c r="H51" s="6">
        <f>ROUND((G51-F51)/30.44,0)</f>
        <v>12</v>
      </c>
    </row>
    <row r="52">
      <c r="A52" s="20" t="n">
        <v>48</v>
      </c>
      <c r="B52" s="23" t="inlineStr">
        <is>
          <t>Полюс Красноярск</t>
        </is>
      </c>
      <c r="C52" s="20" t="inlineStr">
        <is>
          <t>NTE240</t>
        </is>
      </c>
      <c r="D52" s="20" t="inlineStr">
        <is>
          <t>NHLTBABAEPB200042</t>
        </is>
      </c>
      <c r="E52" s="20" t="inlineStr">
        <is>
          <t>228</t>
        </is>
      </c>
      <c r="F52" s="22" t="n">
        <v>45533</v>
      </c>
      <c r="G52" s="22" t="n">
        <v>45897</v>
      </c>
      <c r="H52" s="6">
        <f>ROUND((G52-F52)/30.44,0)</f>
        <v>12</v>
      </c>
    </row>
    <row r="53">
      <c r="A53" s="20" t="n">
        <v>49</v>
      </c>
      <c r="B53" s="23" t="inlineStr">
        <is>
          <t>Полюс Красноярск</t>
        </is>
      </c>
      <c r="C53" s="20" t="inlineStr">
        <is>
          <t>NTE240</t>
        </is>
      </c>
      <c r="D53" s="20" t="inlineStr">
        <is>
          <t>NHLTBABAPPB200045</t>
        </is>
      </c>
      <c r="E53" s="20" t="inlineStr">
        <is>
          <t>229</t>
        </is>
      </c>
      <c r="F53" s="22" t="n">
        <v>45541</v>
      </c>
      <c r="G53" s="22" t="n">
        <v>45905</v>
      </c>
      <c r="H53" s="6">
        <f>ROUND((G53-F53)/30.44,0)</f>
        <v>12</v>
      </c>
    </row>
    <row r="54">
      <c r="A54" s="20" t="n">
        <v>50</v>
      </c>
      <c r="B54" s="23" t="inlineStr">
        <is>
          <t>Полюс Красноярск</t>
        </is>
      </c>
      <c r="C54" s="20" t="inlineStr">
        <is>
          <t>NTE240</t>
        </is>
      </c>
      <c r="D54" s="20" t="inlineStr">
        <is>
          <t>NHLTBABAVPB200049</t>
        </is>
      </c>
      <c r="E54" s="20" t="inlineStr">
        <is>
          <t>231</t>
        </is>
      </c>
      <c r="F54" s="22" t="n">
        <v>45549</v>
      </c>
      <c r="G54" s="22" t="n">
        <v>45913</v>
      </c>
      <c r="H54" s="6">
        <f>ROUND((G54-F54)/30.44,0)</f>
        <v>12</v>
      </c>
    </row>
    <row r="55">
      <c r="A55" s="20" t="n">
        <v>51</v>
      </c>
      <c r="B55" s="23" t="inlineStr">
        <is>
          <t>Полюс Красноярск</t>
        </is>
      </c>
      <c r="C55" s="20" t="inlineStr">
        <is>
          <t>NTE240</t>
        </is>
      </c>
      <c r="D55" s="20" t="inlineStr">
        <is>
          <t>NHLTBABAJPB200047</t>
        </is>
      </c>
      <c r="E55" s="20" t="inlineStr">
        <is>
          <t>230</t>
        </is>
      </c>
      <c r="F55" s="22" t="n">
        <v>45569</v>
      </c>
      <c r="G55" s="22" t="n">
        <v>45933</v>
      </c>
      <c r="H55" s="6">
        <f>ROUND((G55-F55)/30.44,0)</f>
        <v>12</v>
      </c>
    </row>
    <row r="56">
      <c r="A56" s="20" t="n">
        <v>52</v>
      </c>
      <c r="B56" s="23" t="inlineStr">
        <is>
          <t>Полюс Красноярск</t>
        </is>
      </c>
      <c r="C56" s="20" t="inlineStr">
        <is>
          <t>NTE240</t>
        </is>
      </c>
      <c r="D56" s="20" t="inlineStr">
        <is>
          <t>NHLTBABAKPB200046</t>
        </is>
      </c>
      <c r="E56" s="20" t="inlineStr">
        <is>
          <t>232</t>
        </is>
      </c>
      <c r="F56" s="22" t="n">
        <v>45593</v>
      </c>
      <c r="G56" s="22" t="n">
        <v>45957</v>
      </c>
      <c r="H56" s="6">
        <f>ROUND((G56-F56)/30.44,0)</f>
        <v>12</v>
      </c>
    </row>
    <row r="57">
      <c r="A57" s="20" t="n">
        <v>53</v>
      </c>
      <c r="B57" s="23" t="inlineStr">
        <is>
          <t>Полюс Красноярск</t>
        </is>
      </c>
      <c r="C57" s="20" t="inlineStr">
        <is>
          <t>NTE240</t>
        </is>
      </c>
      <c r="D57" s="20" t="inlineStr">
        <is>
          <t>NHLTBABACPB200048</t>
        </is>
      </c>
      <c r="E57" s="20" t="inlineStr">
        <is>
          <t>233</t>
        </is>
      </c>
      <c r="F57" s="22" t="n">
        <v>45627</v>
      </c>
      <c r="G57" s="22" t="n">
        <v>45991</v>
      </c>
      <c r="H57" s="6">
        <f>ROUND((G57-F57)/30.44,0)</f>
        <v>12</v>
      </c>
    </row>
    <row r="58">
      <c r="A58" s="20" t="n">
        <v>54</v>
      </c>
      <c r="B58" s="23" t="inlineStr">
        <is>
          <t>Полюс Красноярск</t>
        </is>
      </c>
      <c r="C58" s="20" t="inlineStr">
        <is>
          <t>NTE240</t>
        </is>
      </c>
      <c r="D58" s="20" t="inlineStr">
        <is>
          <t>NHLTBABAJPB200050</t>
        </is>
      </c>
      <c r="E58" s="20" t="inlineStr">
        <is>
          <t>234</t>
        </is>
      </c>
      <c r="F58" s="22" t="n">
        <v>45632</v>
      </c>
      <c r="G58" s="22" t="n">
        <v>45996</v>
      </c>
      <c r="H58" s="6">
        <f>ROUND((G58-F58)/30.44,0)</f>
        <v>12</v>
      </c>
    </row>
    <row r="59">
      <c r="A59" s="20" t="n">
        <v>55</v>
      </c>
      <c r="B59" s="23" t="inlineStr">
        <is>
          <t>Полюс Красноярск</t>
        </is>
      </c>
      <c r="C59" s="20" t="inlineStr">
        <is>
          <t>NTE240</t>
        </is>
      </c>
      <c r="D59" s="20" t="inlineStr">
        <is>
          <t>NHLTBABAJPB200016</t>
        </is>
      </c>
      <c r="E59" s="20" t="inlineStr">
        <is>
          <t>235</t>
        </is>
      </c>
      <c r="F59" s="22" t="n">
        <v>45636</v>
      </c>
      <c r="G59" s="22" t="n">
        <v>46000</v>
      </c>
      <c r="H59" s="6">
        <f>ROUND((G59-F59)/30.44,0)</f>
        <v>12</v>
      </c>
    </row>
    <row r="60">
      <c r="A60" s="20" t="n">
        <v>56</v>
      </c>
      <c r="B60" s="23" t="inlineStr">
        <is>
          <t>Полюс Красноярск</t>
        </is>
      </c>
      <c r="C60" s="20" t="inlineStr">
        <is>
          <t>NTE240</t>
        </is>
      </c>
      <c r="D60" s="20" t="inlineStr">
        <is>
          <t>NHLTBABACPB200043</t>
        </is>
      </c>
      <c r="E60" s="20" t="inlineStr">
        <is>
          <t>236</t>
        </is>
      </c>
      <c r="F60" s="22" t="n">
        <v>45646</v>
      </c>
      <c r="G60" s="22" t="n">
        <v>46010</v>
      </c>
      <c r="H60" s="6">
        <f>ROUND((G60-F60)/30.44,0)</f>
        <v>12</v>
      </c>
    </row>
    <row r="61">
      <c r="A61" s="20" t="n">
        <v>57</v>
      </c>
      <c r="B61" s="21" t="inlineStr">
        <is>
          <t>Полюс Магадан</t>
        </is>
      </c>
      <c r="C61" s="20" t="inlineStr">
        <is>
          <t>NTE200</t>
        </is>
      </c>
      <c r="D61" s="20" t="inlineStr">
        <is>
          <t>NHLT0ABAPRB100102</t>
        </is>
      </c>
      <c r="E61" s="20" t="inlineStr">
        <is>
          <t>63</t>
        </is>
      </c>
      <c r="F61" s="22" t="n">
        <v>45654</v>
      </c>
      <c r="G61" s="22" t="n">
        <v>46018</v>
      </c>
      <c r="H61" s="6">
        <f>ROUND((G61-F61)/30.44,0)</f>
        <v>12</v>
      </c>
    </row>
    <row r="62">
      <c r="A62" s="20" t="n">
        <v>58</v>
      </c>
      <c r="B62" s="21" t="inlineStr">
        <is>
          <t>Полюс Магадан</t>
        </is>
      </c>
      <c r="C62" s="20" t="inlineStr">
        <is>
          <t>NTE200</t>
        </is>
      </c>
      <c r="D62" s="20" t="inlineStr">
        <is>
          <t>NHLT0ABAHRB100109</t>
        </is>
      </c>
      <c r="E62" s="20" t="inlineStr">
        <is>
          <t>65</t>
        </is>
      </c>
      <c r="F62" s="22" t="n">
        <v>45655</v>
      </c>
      <c r="G62" s="22" t="n">
        <v>46019</v>
      </c>
      <c r="H62" s="6">
        <f>ROUND((G62-F62)/30.44,0)</f>
        <v>12</v>
      </c>
    </row>
    <row r="63">
      <c r="A63" s="20" t="n">
        <v>59</v>
      </c>
      <c r="B63" s="21" t="inlineStr">
        <is>
          <t>Полюс Магадан</t>
        </is>
      </c>
      <c r="C63" s="20" t="inlineStr">
        <is>
          <t>NTE200</t>
        </is>
      </c>
      <c r="D63" s="20" t="inlineStr">
        <is>
          <t>NHLT0ABALRB100108</t>
        </is>
      </c>
      <c r="E63" s="20" t="inlineStr">
        <is>
          <t>64</t>
        </is>
      </c>
      <c r="F63" s="22" t="n">
        <v>45659</v>
      </c>
      <c r="G63" s="22" t="n">
        <v>46023</v>
      </c>
      <c r="H63" s="6">
        <f>ROUND((G63-F63)/30.44,0)</f>
        <v>12</v>
      </c>
    </row>
    <row r="64">
      <c r="A64" s="20" t="n">
        <v>60</v>
      </c>
      <c r="B64" s="23" t="inlineStr">
        <is>
          <t>Полюс Красноярск</t>
        </is>
      </c>
      <c r="C64" s="20" t="inlineStr">
        <is>
          <t>NTE240</t>
        </is>
      </c>
      <c r="D64" s="20" t="inlineStr">
        <is>
          <t>NHLTBABAJRB200052</t>
        </is>
      </c>
      <c r="E64" s="20" t="inlineStr">
        <is>
          <t>238</t>
        </is>
      </c>
      <c r="F64" s="22" t="n">
        <v>45661</v>
      </c>
      <c r="G64" s="22" t="n">
        <v>46025</v>
      </c>
      <c r="H64" s="6">
        <f>ROUND((G64-F64)/30.44,0)</f>
        <v>12</v>
      </c>
    </row>
    <row r="65">
      <c r="A65" s="20" t="n">
        <v>61</v>
      </c>
      <c r="B65" s="23" t="inlineStr">
        <is>
          <t>Полюс Красноярск</t>
        </is>
      </c>
      <c r="C65" s="20" t="inlineStr">
        <is>
          <t>NTE240</t>
        </is>
      </c>
      <c r="D65" s="20" t="inlineStr">
        <is>
          <t>NHLTBABACRB200053</t>
        </is>
      </c>
      <c r="E65" s="20" t="inlineStr">
        <is>
          <t>237</t>
        </is>
      </c>
      <c r="F65" s="22" t="n">
        <v>45663</v>
      </c>
      <c r="G65" s="22" t="n">
        <v>46027</v>
      </c>
      <c r="H65" s="6">
        <f>ROUND((G65-F65)/30.44,0)</f>
        <v>12</v>
      </c>
    </row>
    <row r="66">
      <c r="A66" s="20" t="n">
        <v>62</v>
      </c>
      <c r="B66" s="21" t="inlineStr">
        <is>
          <t>Полюс Магадан</t>
        </is>
      </c>
      <c r="C66" s="20" t="inlineStr">
        <is>
          <t>NTE200</t>
        </is>
      </c>
      <c r="D66" s="20" t="inlineStr">
        <is>
          <t>NHLT0ABAARB100107</t>
        </is>
      </c>
      <c r="E66" s="20" t="inlineStr">
        <is>
          <t>66</t>
        </is>
      </c>
      <c r="F66" s="22" t="n">
        <v>45665</v>
      </c>
      <c r="G66" s="22" t="n">
        <v>46029</v>
      </c>
      <c r="H66" s="6">
        <f>ROUND((G66-F66)/30.44,0)</f>
        <v>12</v>
      </c>
    </row>
    <row r="67">
      <c r="A67" s="20" t="n">
        <v>63</v>
      </c>
      <c r="B67" s="21" t="inlineStr">
        <is>
          <t>Полюс Магадан</t>
        </is>
      </c>
      <c r="C67" s="20" t="inlineStr">
        <is>
          <t>NTE200</t>
        </is>
      </c>
      <c r="D67" s="20" t="inlineStr">
        <is>
          <t>NHLT0ABATRB100101</t>
        </is>
      </c>
      <c r="E67" s="20" t="inlineStr">
        <is>
          <t>67</t>
        </is>
      </c>
      <c r="F67" s="22" t="n">
        <v>45665</v>
      </c>
      <c r="G67" s="22" t="n">
        <v>46029</v>
      </c>
      <c r="H67" s="6">
        <f>ROUND((G67-F67)/30.44,0)</f>
        <v>12</v>
      </c>
    </row>
    <row r="68">
      <c r="A68" s="20" t="n">
        <v>64</v>
      </c>
      <c r="B68" s="21" t="inlineStr">
        <is>
          <t>Полюс Магадан</t>
        </is>
      </c>
      <c r="C68" s="20" t="inlineStr">
        <is>
          <t>NTE200</t>
        </is>
      </c>
      <c r="D68" s="20" t="inlineStr">
        <is>
          <t>NHLT0ABAPRB100097</t>
        </is>
      </c>
      <c r="E68" s="20" t="inlineStr">
        <is>
          <t>69</t>
        </is>
      </c>
      <c r="F68" s="22" t="n">
        <v>45666</v>
      </c>
      <c r="G68" s="22" t="n">
        <v>46030</v>
      </c>
      <c r="H68" s="6">
        <f>ROUND((G68-F68)/30.44,0)</f>
        <v>12</v>
      </c>
    </row>
    <row r="69">
      <c r="A69" s="20" t="n">
        <v>65</v>
      </c>
      <c r="B69" s="21" t="inlineStr">
        <is>
          <t>Полюс Магадан</t>
        </is>
      </c>
      <c r="C69" s="20" t="inlineStr">
        <is>
          <t>NTE200</t>
        </is>
      </c>
      <c r="D69" s="20" t="inlineStr">
        <is>
          <t>NHLT0ABAARB100110</t>
        </is>
      </c>
      <c r="E69" s="20" t="inlineStr">
        <is>
          <t>70</t>
        </is>
      </c>
      <c r="F69" s="22" t="n">
        <v>45666</v>
      </c>
      <c r="G69" s="22" t="n">
        <v>46030</v>
      </c>
      <c r="H69" s="6">
        <f>ROUND((G69-F69)/30.44,0)</f>
        <v>12</v>
      </c>
    </row>
    <row r="70">
      <c r="A70" s="20" t="n">
        <v>66</v>
      </c>
      <c r="B70" s="21" t="inlineStr">
        <is>
          <t>Полюс Магадан</t>
        </is>
      </c>
      <c r="C70" s="20" t="inlineStr">
        <is>
          <t>NTE200</t>
        </is>
      </c>
      <c r="D70" s="20" t="inlineStr">
        <is>
          <t>NHLT0ABACRB100100</t>
        </is>
      </c>
      <c r="E70" s="20" t="inlineStr">
        <is>
          <t>68</t>
        </is>
      </c>
      <c r="F70" s="22" t="n">
        <v>45667</v>
      </c>
      <c r="G70" s="22" t="n">
        <v>46031</v>
      </c>
      <c r="H70" s="6">
        <f>ROUND((G70-F70)/30.44,0)</f>
        <v>12</v>
      </c>
    </row>
    <row r="71">
      <c r="A71" s="20" t="n">
        <v>67</v>
      </c>
      <c r="B71" s="23" t="inlineStr">
        <is>
          <t>Полюс Красноярск</t>
        </is>
      </c>
      <c r="C71" s="20" t="inlineStr">
        <is>
          <t>NTE240</t>
        </is>
      </c>
      <c r="D71" s="20" t="inlineStr">
        <is>
          <t>NHLTBABAKRB200051</t>
        </is>
      </c>
      <c r="E71" s="20" t="inlineStr">
        <is>
          <t>239</t>
        </is>
      </c>
      <c r="F71" s="22" t="n">
        <v>45674</v>
      </c>
      <c r="G71" s="22" t="n">
        <v>46038</v>
      </c>
      <c r="H71" s="6">
        <f>ROUND((G71-F71)/30.44,0)</f>
        <v>12</v>
      </c>
    </row>
    <row r="72">
      <c r="A72" s="20" t="n">
        <v>68</v>
      </c>
      <c r="B72" s="23" t="inlineStr">
        <is>
          <t>Полюс Красноярск</t>
        </is>
      </c>
      <c r="C72" s="20" t="inlineStr">
        <is>
          <t>NTE240</t>
        </is>
      </c>
      <c r="D72" s="20" t="inlineStr">
        <is>
          <t>NHLTBABAVRB200054</t>
        </is>
      </c>
      <c r="E72" s="20" t="inlineStr">
        <is>
          <t>240</t>
        </is>
      </c>
      <c r="F72" s="22" t="n">
        <v>45681</v>
      </c>
      <c r="G72" s="22" t="n">
        <v>46045</v>
      </c>
      <c r="H72" s="6">
        <f>ROUND((G72-F72)/30.44,0)</f>
        <v>12</v>
      </c>
    </row>
    <row r="73">
      <c r="A73" s="20" t="n">
        <v>69</v>
      </c>
      <c r="B73" s="23" t="inlineStr">
        <is>
          <t>Полюс Красноярск</t>
        </is>
      </c>
      <c r="C73" s="20" t="inlineStr">
        <is>
          <t>NTE240</t>
        </is>
      </c>
      <c r="D73" s="20" t="inlineStr">
        <is>
          <t>NHLTBABAERB200058</t>
        </is>
      </c>
      <c r="E73" s="20" t="inlineStr">
        <is>
          <t>242</t>
        </is>
      </c>
      <c r="F73" s="22" t="n">
        <v>45690</v>
      </c>
      <c r="G73" s="22" t="n">
        <v>46054</v>
      </c>
      <c r="H73" s="6">
        <f>ROUND((G73-F73)/30.44,0)</f>
        <v>12</v>
      </c>
    </row>
    <row r="74">
      <c r="A74" s="20" t="n">
        <v>70</v>
      </c>
      <c r="B74" s="23" t="inlineStr">
        <is>
          <t>Полюс Красноярск</t>
        </is>
      </c>
      <c r="C74" s="20" t="inlineStr">
        <is>
          <t>NTE240</t>
        </is>
      </c>
      <c r="D74" s="20" t="inlineStr">
        <is>
          <t>NHLTBABAARB200055</t>
        </is>
      </c>
      <c r="E74" s="20" t="inlineStr">
        <is>
          <t>241</t>
        </is>
      </c>
      <c r="F74" s="22" t="n">
        <v>45693</v>
      </c>
      <c r="G74" s="22" t="n">
        <v>46057</v>
      </c>
      <c r="H74" s="6">
        <f>ROUND((G74-F74)/30.44,0)</f>
        <v>12</v>
      </c>
    </row>
    <row r="75">
      <c r="A75" s="20" t="n">
        <v>71</v>
      </c>
      <c r="B75" s="21" t="inlineStr">
        <is>
          <t>Полюс Магадан</t>
        </is>
      </c>
      <c r="C75" s="20" t="inlineStr">
        <is>
          <t>NTE200</t>
        </is>
      </c>
      <c r="D75" s="20" t="inlineStr">
        <is>
          <t>NHLT0ABAVRB100090</t>
        </is>
      </c>
      <c r="E75" s="20" t="inlineStr">
        <is>
          <t>71</t>
        </is>
      </c>
      <c r="F75" s="22" t="n">
        <v>45693</v>
      </c>
      <c r="G75" s="22" t="n">
        <v>46057</v>
      </c>
      <c r="H75" s="6">
        <f>ROUND((G75-F75)/30.44,0)</f>
        <v>12</v>
      </c>
    </row>
    <row r="76">
      <c r="A76" s="20" t="n">
        <v>72</v>
      </c>
      <c r="B76" s="21" t="inlineStr">
        <is>
          <t>Полюс Магадан</t>
        </is>
      </c>
      <c r="C76" s="20" t="inlineStr">
        <is>
          <t>NTE200</t>
        </is>
      </c>
      <c r="D76" s="20" t="inlineStr">
        <is>
          <t>NHLT0ABAVRB100106</t>
        </is>
      </c>
      <c r="E76" s="20" t="inlineStr">
        <is>
          <t>72</t>
        </is>
      </c>
      <c r="F76" s="22" t="n">
        <v>45697</v>
      </c>
      <c r="G76" s="22" t="n">
        <v>46061</v>
      </c>
      <c r="H76" s="6">
        <f>ROUND((G76-F76)/30.44,0)</f>
        <v>12</v>
      </c>
    </row>
    <row r="77">
      <c r="A77" s="20" t="n">
        <v>73</v>
      </c>
      <c r="B77" s="21" t="inlineStr">
        <is>
          <t>Полюс Магадан</t>
        </is>
      </c>
      <c r="C77" s="20" t="inlineStr">
        <is>
          <t>NTE200</t>
        </is>
      </c>
      <c r="D77" s="20" t="inlineStr">
        <is>
          <t>NHLT0ABAHRB100112</t>
        </is>
      </c>
      <c r="E77" s="20" t="inlineStr">
        <is>
          <t>73</t>
        </is>
      </c>
      <c r="F77" s="22" t="n">
        <v>45700</v>
      </c>
      <c r="G77" s="22" t="n">
        <v>46064</v>
      </c>
      <c r="H77" s="6">
        <f>ROUND((G77-F77)/30.44,0)</f>
        <v>12</v>
      </c>
    </row>
    <row r="78">
      <c r="A78" s="20" t="n">
        <v>74</v>
      </c>
      <c r="B78" s="21" t="inlineStr">
        <is>
          <t>Полюс Магадан</t>
        </is>
      </c>
      <c r="C78" s="20" t="inlineStr">
        <is>
          <t>NTE200</t>
        </is>
      </c>
      <c r="D78" s="20" t="inlineStr">
        <is>
          <t>NHLT0ABALRB100111</t>
        </is>
      </c>
      <c r="E78" s="20" t="inlineStr">
        <is>
          <t>74</t>
        </is>
      </c>
      <c r="F78" s="22" t="n">
        <v>45704</v>
      </c>
      <c r="G78" s="22" t="n">
        <v>46068</v>
      </c>
      <c r="H78" s="6">
        <f>ROUND((G78-F78)/30.44,0)</f>
        <v>12</v>
      </c>
    </row>
    <row r="79">
      <c r="A79" s="20" t="n">
        <v>75</v>
      </c>
      <c r="B79" s="23" t="inlineStr">
        <is>
          <t>Полюс Красноярск</t>
        </is>
      </c>
      <c r="C79" s="20" t="inlineStr">
        <is>
          <t>NTE240</t>
        </is>
      </c>
      <c r="D79" s="20" t="inlineStr">
        <is>
          <t>NHLTBABAHRB200057</t>
        </is>
      </c>
      <c r="E79" s="20" t="inlineStr">
        <is>
          <t>243</t>
        </is>
      </c>
      <c r="F79" s="22" t="n">
        <v>45706</v>
      </c>
      <c r="G79" s="22" t="n">
        <v>46070</v>
      </c>
      <c r="H79" s="6">
        <f>ROUND((G79-F79)/30.44,0)</f>
        <v>12</v>
      </c>
    </row>
    <row r="80">
      <c r="A80" s="20" t="n">
        <v>76</v>
      </c>
      <c r="B80" s="21" t="inlineStr">
        <is>
          <t>Полюс Магадан</t>
        </is>
      </c>
      <c r="C80" s="20" t="inlineStr">
        <is>
          <t>NTE200</t>
        </is>
      </c>
      <c r="D80" s="20" t="inlineStr">
        <is>
          <t>NHLT0ABAJRB100099</t>
        </is>
      </c>
      <c r="E80" s="20" t="inlineStr">
        <is>
          <t>75</t>
        </is>
      </c>
      <c r="F80" s="22" t="n">
        <v>45710</v>
      </c>
      <c r="G80" s="22" t="n">
        <v>46074</v>
      </c>
      <c r="H80" s="6">
        <f>ROUND((G80-F80)/30.44,0)</f>
        <v>12</v>
      </c>
    </row>
    <row r="81">
      <c r="A81" s="20" t="n">
        <v>77</v>
      </c>
      <c r="B81" s="21" t="inlineStr">
        <is>
          <t>Полюс Магадан</t>
        </is>
      </c>
      <c r="C81" s="20" t="inlineStr">
        <is>
          <t>NTE200</t>
        </is>
      </c>
      <c r="D81" s="20" t="inlineStr">
        <is>
          <t>NHLT0ABACRB100105</t>
        </is>
      </c>
      <c r="E81" s="20" t="inlineStr">
        <is>
          <t>76</t>
        </is>
      </c>
      <c r="F81" s="22" t="n">
        <v>45716</v>
      </c>
      <c r="G81" s="22" t="n">
        <v>46080</v>
      </c>
      <c r="H81" s="6">
        <f>ROUND((G81-F81)/30.44,0)</f>
        <v>12</v>
      </c>
    </row>
    <row r="82">
      <c r="A82" s="20" t="n">
        <v>78</v>
      </c>
      <c r="B82" s="23" t="inlineStr">
        <is>
          <t>Полюс Красноярск</t>
        </is>
      </c>
      <c r="C82" s="20" t="inlineStr">
        <is>
          <t>NTE240</t>
        </is>
      </c>
      <c r="D82" s="20" t="inlineStr">
        <is>
          <t>NHLTBABAERB200061</t>
        </is>
      </c>
      <c r="E82" s="20" t="inlineStr">
        <is>
          <t>244</t>
        </is>
      </c>
      <c r="F82" s="22" t="n">
        <v>45717</v>
      </c>
      <c r="G82" s="22" t="n">
        <v>46081</v>
      </c>
      <c r="H82" s="6">
        <f>ROUND((G82-F82)/30.44,0)</f>
        <v>12</v>
      </c>
    </row>
    <row r="83">
      <c r="A83" s="20" t="n">
        <v>79</v>
      </c>
      <c r="B83" s="23" t="inlineStr">
        <is>
          <t>Полюс Красноярск</t>
        </is>
      </c>
      <c r="C83" s="20" t="inlineStr">
        <is>
          <t>NTE240</t>
        </is>
      </c>
      <c r="D83" s="20" t="inlineStr">
        <is>
          <t>NHLTBABACRB200059</t>
        </is>
      </c>
      <c r="E83" s="20" t="inlineStr">
        <is>
          <t>245</t>
        </is>
      </c>
      <c r="F83" s="22" t="n">
        <v>45717</v>
      </c>
      <c r="G83" s="22" t="n">
        <v>46081</v>
      </c>
      <c r="H83" s="6">
        <f>ROUND((G83-F83)/30.44,0)</f>
        <v>12</v>
      </c>
    </row>
    <row r="84">
      <c r="A84" s="20" t="n">
        <v>80</v>
      </c>
      <c r="B84" s="21" t="inlineStr">
        <is>
          <t>Полюс Магадан</t>
        </is>
      </c>
      <c r="C84" s="20" t="inlineStr">
        <is>
          <t>NTE200</t>
        </is>
      </c>
      <c r="D84" s="20" t="inlineStr">
        <is>
          <t>NHLT0ABAKRB100103</t>
        </is>
      </c>
      <c r="E84" s="20" t="inlineStr">
        <is>
          <t>77</t>
        </is>
      </c>
      <c r="F84" s="22" t="n">
        <v>45719</v>
      </c>
      <c r="G84" s="22" t="n">
        <v>46083</v>
      </c>
      <c r="H84" s="6">
        <f>ROUND((G84-F84)/30.44,0)</f>
        <v>12</v>
      </c>
    </row>
    <row r="85">
      <c r="A85" s="20" t="n">
        <v>81</v>
      </c>
      <c r="B85" s="21" t="inlineStr">
        <is>
          <t>Полюс Магадан</t>
        </is>
      </c>
      <c r="C85" s="20" t="inlineStr">
        <is>
          <t>NTE200</t>
        </is>
      </c>
      <c r="D85" s="20" t="inlineStr">
        <is>
          <t>NHLT0ABAJRB100104</t>
        </is>
      </c>
      <c r="E85" s="20" t="inlineStr">
        <is>
          <t>78</t>
        </is>
      </c>
      <c r="F85" s="22" t="n">
        <v>45724</v>
      </c>
      <c r="G85" s="22" t="n">
        <v>46088</v>
      </c>
      <c r="H85" s="6">
        <f>ROUND((G85-F85)/30.44,0)</f>
        <v>12</v>
      </c>
    </row>
    <row r="86">
      <c r="A86" s="20" t="n">
        <v>82</v>
      </c>
      <c r="B86" s="23" t="inlineStr">
        <is>
          <t>Полюс Красноярск</t>
        </is>
      </c>
      <c r="C86" s="20" t="inlineStr">
        <is>
          <t>NTE240</t>
        </is>
      </c>
      <c r="D86" s="20" t="inlineStr">
        <is>
          <t>NHLTBABAHRB200060</t>
        </is>
      </c>
      <c r="E86" s="20" t="inlineStr">
        <is>
          <t>247</t>
        </is>
      </c>
      <c r="F86" s="22" t="n">
        <v>45739</v>
      </c>
      <c r="G86" s="22" t="n">
        <v>46103</v>
      </c>
      <c r="H86" s="6">
        <f>ROUND((G86-F86)/30.44,0)</f>
        <v>12</v>
      </c>
    </row>
    <row r="87">
      <c r="A87" s="20" t="n">
        <v>83</v>
      </c>
      <c r="B87" s="23" t="inlineStr">
        <is>
          <t>Полюс Красноярск</t>
        </is>
      </c>
      <c r="C87" s="20" t="inlineStr">
        <is>
          <t>NTE240</t>
        </is>
      </c>
      <c r="D87" s="20" t="inlineStr">
        <is>
          <t>NHLTBABALRB200056</t>
        </is>
      </c>
      <c r="E87" s="20" t="inlineStr">
        <is>
          <t>246</t>
        </is>
      </c>
      <c r="F87" s="22" t="n">
        <v>45744</v>
      </c>
      <c r="G87" s="22" t="n">
        <v>46108</v>
      </c>
      <c r="H87" s="6">
        <f>ROUND((G87-F87)/30.44,0)</f>
        <v>12</v>
      </c>
    </row>
    <row r="88">
      <c r="A88" s="20" t="n">
        <v>84</v>
      </c>
      <c r="B88" s="23" t="inlineStr">
        <is>
          <t>Полюс Красноярск</t>
        </is>
      </c>
      <c r="C88" s="20" t="inlineStr">
        <is>
          <t>NTE240</t>
        </is>
      </c>
      <c r="D88" s="20" t="inlineStr">
        <is>
          <t>NHLTBABAHSB200078</t>
        </is>
      </c>
      <c r="E88" s="20" t="inlineStr">
        <is>
          <t>248</t>
        </is>
      </c>
      <c r="F88" s="22" t="n">
        <v>45768</v>
      </c>
      <c r="G88" s="22" t="n">
        <v>46132</v>
      </c>
      <c r="H88" s="6">
        <f>ROUND((G88-F88)/30.44,0)</f>
        <v>12</v>
      </c>
    </row>
    <row r="89">
      <c r="A89" s="20" t="n">
        <v>85</v>
      </c>
      <c r="B89" s="23" t="inlineStr">
        <is>
          <t>Полюс Красноярск</t>
        </is>
      </c>
      <c r="C89" s="20" t="inlineStr">
        <is>
          <t>NTE240</t>
        </is>
      </c>
      <c r="D89" s="20" t="inlineStr">
        <is>
          <t>NHLTBABAESB200079</t>
        </is>
      </c>
      <c r="E89" s="20" t="inlineStr">
        <is>
          <t>249</t>
        </is>
      </c>
      <c r="F89" s="22" t="n">
        <v>45772</v>
      </c>
      <c r="G89" s="22" t="n">
        <v>46136</v>
      </c>
      <c r="H89" s="6">
        <f>ROUND((G89-F89)/30.44,0)</f>
        <v>12</v>
      </c>
    </row>
    <row r="90">
      <c r="A90" s="20" t="n">
        <v>86</v>
      </c>
      <c r="B90" s="23" t="inlineStr">
        <is>
          <t>Полюс Красноярск</t>
        </is>
      </c>
      <c r="C90" s="20" t="inlineStr">
        <is>
          <t>NTE240</t>
        </is>
      </c>
      <c r="D90" s="20" t="inlineStr">
        <is>
          <t>NHLTBABALSB200080</t>
        </is>
      </c>
      <c r="E90" s="20" t="inlineStr">
        <is>
          <t>250</t>
        </is>
      </c>
      <c r="F90" s="22" t="n">
        <v>45782</v>
      </c>
      <c r="G90" s="22" t="n">
        <v>46146</v>
      </c>
      <c r="H90" s="6">
        <f>ROUND((G90-F90)/30.44,0)</f>
        <v>12</v>
      </c>
    </row>
    <row r="91">
      <c r="A91" s="20" t="n">
        <v>87</v>
      </c>
      <c r="B91" s="23" t="inlineStr">
        <is>
          <t>Полюс Красноярск</t>
        </is>
      </c>
      <c r="C91" s="20" t="inlineStr">
        <is>
          <t>NTE240</t>
        </is>
      </c>
      <c r="D91" s="20" t="inlineStr">
        <is>
          <t>NHLTBABAHSB200081</t>
        </is>
      </c>
      <c r="E91" s="20" t="inlineStr">
        <is>
          <t>251</t>
        </is>
      </c>
      <c r="F91" s="22" t="n">
        <v>45789</v>
      </c>
      <c r="G91" s="22" t="n">
        <v>46153</v>
      </c>
      <c r="H91" s="6">
        <f>ROUND((G91-F91)/30.44,0)</f>
        <v>12</v>
      </c>
    </row>
    <row r="92">
      <c r="A92" s="20" t="n">
        <v>88</v>
      </c>
      <c r="B92" s="23" t="inlineStr">
        <is>
          <t>Полюс Красноярск</t>
        </is>
      </c>
      <c r="C92" s="20" t="inlineStr">
        <is>
          <t>NTE240</t>
        </is>
      </c>
      <c r="D92" s="20" t="inlineStr">
        <is>
          <t>NHLTBABAESB200082</t>
        </is>
      </c>
      <c r="E92" s="20" t="inlineStr">
        <is>
          <t>252</t>
        </is>
      </c>
      <c r="F92" s="22" t="n">
        <v>45798</v>
      </c>
      <c r="G92" s="22" t="n">
        <v>46162</v>
      </c>
      <c r="H92" s="6">
        <f>ROUND((G92-F92)/30.44,0)</f>
        <v>12</v>
      </c>
    </row>
    <row r="93">
      <c r="A93" s="20" t="n">
        <v>89</v>
      </c>
      <c r="B93" s="23" t="inlineStr">
        <is>
          <t>Полюс Красноярск</t>
        </is>
      </c>
      <c r="C93" s="20" t="inlineStr">
        <is>
          <t>NTE240</t>
        </is>
      </c>
      <c r="D93" s="20" t="inlineStr">
        <is>
          <t>NHLTBABACSB200083</t>
        </is>
      </c>
      <c r="E93" s="20" t="inlineStr">
        <is>
          <t>253</t>
        </is>
      </c>
      <c r="F93" s="22" t="n">
        <v>45806</v>
      </c>
      <c r="G93" s="22" t="n">
        <v>46170</v>
      </c>
      <c r="H93" s="6">
        <f>ROUND((G93-F93)/30.44,0)</f>
        <v>12</v>
      </c>
    </row>
    <row r="94">
      <c r="A94" s="20" t="n">
        <v>90</v>
      </c>
      <c r="B94" s="23" t="inlineStr">
        <is>
          <t>Полюс Красноярск</t>
        </is>
      </c>
      <c r="C94" s="20" t="inlineStr">
        <is>
          <t>NTE240</t>
        </is>
      </c>
      <c r="D94" s="20" t="inlineStr">
        <is>
          <t>NHLTBABATSB200084</t>
        </is>
      </c>
      <c r="E94" s="20" t="inlineStr">
        <is>
          <t>254</t>
        </is>
      </c>
      <c r="F94" s="22" t="n">
        <v>45815</v>
      </c>
      <c r="G94" s="22" t="n">
        <v>46179</v>
      </c>
      <c r="H94" s="6">
        <f>ROUND((G94-F94)/30.44,0)</f>
        <v>12</v>
      </c>
    </row>
    <row r="95">
      <c r="A95" s="20" t="n">
        <v>91</v>
      </c>
      <c r="B95" s="23" t="inlineStr">
        <is>
          <t>Полюс Красноярск</t>
        </is>
      </c>
      <c r="C95" s="20" t="inlineStr">
        <is>
          <t>NTE240</t>
        </is>
      </c>
      <c r="D95" s="20" t="inlineStr">
        <is>
          <t>NHLTBABAPSB200085</t>
        </is>
      </c>
      <c r="E95" s="20" t="inlineStr">
        <is>
          <t>255</t>
        </is>
      </c>
      <c r="F95" s="22" t="n">
        <v>45819</v>
      </c>
      <c r="G95" s="22" t="n">
        <v>46183</v>
      </c>
      <c r="H95" s="6">
        <f>ROUND((G95-F95)/30.44,0)</f>
        <v>12</v>
      </c>
    </row>
    <row r="96">
      <c r="A96" s="20" t="n">
        <v>92</v>
      </c>
      <c r="B96" s="23" t="inlineStr">
        <is>
          <t>Полюс Красноярск</t>
        </is>
      </c>
      <c r="C96" s="20" t="inlineStr">
        <is>
          <t>NTE240</t>
        </is>
      </c>
      <c r="D96" s="20" t="inlineStr">
        <is>
          <t>NHLTBABAJSB200087</t>
        </is>
      </c>
      <c r="E96" s="20" t="inlineStr">
        <is>
          <t>257</t>
        </is>
      </c>
      <c r="F96" s="22" t="n">
        <v>45829</v>
      </c>
      <c r="G96" s="22" t="n">
        <v>46193</v>
      </c>
      <c r="H96" s="6">
        <f>ROUND((G96-F96)/30.44,0)</f>
        <v>12</v>
      </c>
    </row>
    <row r="97">
      <c r="A97" s="20" t="n">
        <v>93</v>
      </c>
      <c r="B97" s="23" t="inlineStr">
        <is>
          <t>Полюс Красноярск</t>
        </is>
      </c>
      <c r="C97" s="20" t="inlineStr">
        <is>
          <t>NTE240</t>
        </is>
      </c>
      <c r="D97" s="20" t="inlineStr">
        <is>
          <t>NHLTBABAKSB200086</t>
        </is>
      </c>
      <c r="E97" s="20" t="inlineStr">
        <is>
          <t>256</t>
        </is>
      </c>
      <c r="F97" s="22" t="n">
        <v>45834</v>
      </c>
      <c r="G97" s="22" t="n">
        <v>46198</v>
      </c>
      <c r="H97" s="6">
        <f>ROUND((G97-F97)/30.44,0)</f>
        <v>12</v>
      </c>
    </row>
    <row r="98">
      <c r="A98" s="20" t="n">
        <v>94</v>
      </c>
      <c r="B98" s="23" t="inlineStr">
        <is>
          <t>Полюс Красноярск</t>
        </is>
      </c>
      <c r="C98" s="20" t="inlineStr">
        <is>
          <t>NTE240</t>
        </is>
      </c>
      <c r="D98" s="20" t="inlineStr">
        <is>
          <t>NHLTBABAVSB200089</t>
        </is>
      </c>
      <c r="E98" s="20" t="inlineStr">
        <is>
          <t>259</t>
        </is>
      </c>
      <c r="F98" s="22" t="n">
        <v>45847</v>
      </c>
      <c r="G98" s="22" t="n">
        <v>46211</v>
      </c>
      <c r="H98" s="6">
        <f>ROUND((G98-F98)/30.44,0)</f>
        <v>12</v>
      </c>
    </row>
    <row r="99">
      <c r="A99" s="20" t="n">
        <v>95</v>
      </c>
      <c r="B99" s="23" t="inlineStr">
        <is>
          <t>Полюс Красноярск</t>
        </is>
      </c>
      <c r="C99" s="20" t="inlineStr">
        <is>
          <t>NTE240</t>
        </is>
      </c>
      <c r="D99" s="20" t="inlineStr">
        <is>
          <t>NHLTBABACSB200088</t>
        </is>
      </c>
      <c r="E99" s="20" t="inlineStr">
        <is>
          <t>258</t>
        </is>
      </c>
      <c r="F99" s="22" t="n">
        <v>45854</v>
      </c>
      <c r="G99" s="22" t="n">
        <v>46218</v>
      </c>
      <c r="H99" s="6">
        <f>ROUND((G99-F99)/30.44,0)</f>
        <v>12</v>
      </c>
    </row>
    <row r="100">
      <c r="A100" s="20" t="n">
        <v>96</v>
      </c>
      <c r="B100" s="23" t="inlineStr">
        <is>
          <t>Полюс Красноярск</t>
        </is>
      </c>
      <c r="C100" s="20" t="inlineStr">
        <is>
          <t>NTE240</t>
        </is>
      </c>
      <c r="D100" s="20" t="inlineStr">
        <is>
          <t>NHLTBABAJSB200090</t>
        </is>
      </c>
      <c r="E100" s="20" t="inlineStr">
        <is>
          <t>260</t>
        </is>
      </c>
      <c r="F100" s="22" t="n">
        <v>45857</v>
      </c>
      <c r="G100" s="22" t="n">
        <v>46221</v>
      </c>
      <c r="H100" s="6">
        <f>ROUND((G100-F100)/30.44,0)</f>
        <v>12</v>
      </c>
    </row>
    <row r="101">
      <c r="A101" s="20" t="n">
        <v>97</v>
      </c>
      <c r="B101" s="23" t="inlineStr">
        <is>
          <t>Полюс Красноярск</t>
        </is>
      </c>
      <c r="C101" s="20" t="inlineStr">
        <is>
          <t>NTE240</t>
        </is>
      </c>
      <c r="D101" s="20" t="inlineStr">
        <is>
          <t>NHLTBABACSB200091</t>
        </is>
      </c>
      <c r="E101" s="20" t="inlineStr">
        <is>
          <t>261</t>
        </is>
      </c>
      <c r="F101" s="22" t="n">
        <v>45864</v>
      </c>
      <c r="G101" s="22" t="n">
        <v>46228</v>
      </c>
      <c r="H101" s="6">
        <f>ROUND((G101-F101)/30.44,0)</f>
        <v>12</v>
      </c>
    </row>
    <row r="102">
      <c r="A102" s="20" t="n">
        <v>98</v>
      </c>
      <c r="B102" s="23" t="inlineStr">
        <is>
          <t>Полюс Красноярск</t>
        </is>
      </c>
      <c r="C102" s="20" t="inlineStr">
        <is>
          <t>NTE240</t>
        </is>
      </c>
      <c r="D102" s="20" t="inlineStr">
        <is>
          <t>NHLTBABAVSB200092</t>
        </is>
      </c>
      <c r="E102" s="20" t="inlineStr">
        <is>
          <t>262</t>
        </is>
      </c>
      <c r="F102" s="22" t="n">
        <v>45872</v>
      </c>
      <c r="G102" s="22" t="n">
        <v>46236</v>
      </c>
      <c r="H102" s="6">
        <f>ROUND((G102-F102)/30.44,0)</f>
        <v>12</v>
      </c>
    </row>
    <row r="103">
      <c r="A103" s="20" t="n">
        <v>99</v>
      </c>
      <c r="B103" s="23" t="inlineStr">
        <is>
          <t>Полюс Красноярск</t>
        </is>
      </c>
      <c r="C103" s="20" t="inlineStr">
        <is>
          <t>NTE240</t>
        </is>
      </c>
      <c r="D103" s="20" t="inlineStr">
        <is>
          <t>NHLTBABAASB200093</t>
        </is>
      </c>
      <c r="E103" s="20" t="inlineStr">
        <is>
          <t>263</t>
        </is>
      </c>
      <c r="F103" s="22" t="n">
        <v>45876</v>
      </c>
      <c r="G103" s="22" t="n">
        <v>46240</v>
      </c>
      <c r="H103" s="6">
        <f>ROUND((G103-F103)/30.44,0)</f>
        <v>12</v>
      </c>
    </row>
    <row r="104">
      <c r="A104" s="20" t="n">
        <v>100</v>
      </c>
      <c r="B104" s="23" t="inlineStr">
        <is>
          <t>Полюс Красноярск</t>
        </is>
      </c>
      <c r="C104" s="20" t="inlineStr">
        <is>
          <t>NTE240</t>
        </is>
      </c>
      <c r="D104" s="20" t="inlineStr">
        <is>
          <t>NHLTBABALSB200094</t>
        </is>
      </c>
      <c r="E104" s="20" t="inlineStr">
        <is>
          <t>264</t>
        </is>
      </c>
      <c r="F104" s="22" t="n">
        <v>45885</v>
      </c>
      <c r="G104" s="22" t="n">
        <v>46249</v>
      </c>
      <c r="H104" s="6">
        <f>ROUND((G104-F104)/30.44,0)</f>
        <v>12</v>
      </c>
    </row>
    <row r="105">
      <c r="A105" s="20" t="n">
        <v>101</v>
      </c>
      <c r="B105" s="23" t="inlineStr">
        <is>
          <t>Полюс Красноярск</t>
        </is>
      </c>
      <c r="C105" s="20" t="inlineStr">
        <is>
          <t>NTE240</t>
        </is>
      </c>
      <c r="D105" s="20" t="inlineStr">
        <is>
          <t>NHLTBABAHSB200095</t>
        </is>
      </c>
      <c r="E105" s="20" t="inlineStr">
        <is>
          <t>265</t>
        </is>
      </c>
      <c r="F105" s="22" t="n">
        <v>45890</v>
      </c>
      <c r="G105" s="22" t="n">
        <v>46254</v>
      </c>
      <c r="H105" s="6">
        <f>ROUND((G105-F105)/30.44,0)</f>
        <v>12</v>
      </c>
    </row>
    <row r="106">
      <c r="A106" s="20" t="n">
        <v>102</v>
      </c>
      <c r="B106" s="23" t="inlineStr">
        <is>
          <t>Полюс Красноярск</t>
        </is>
      </c>
      <c r="C106" s="20" t="inlineStr">
        <is>
          <t>NTE240</t>
        </is>
      </c>
      <c r="D106" s="20" t="inlineStr">
        <is>
          <t>NHLTBABAESB200096</t>
        </is>
      </c>
      <c r="E106" s="20" t="inlineStr">
        <is>
          <t>266</t>
        </is>
      </c>
      <c r="F106" s="22" t="n">
        <v>45896</v>
      </c>
      <c r="G106" s="22" t="n">
        <v>46260</v>
      </c>
      <c r="H106" s="6">
        <f>ROUND((G106-F106)/30.44,0)</f>
        <v>12</v>
      </c>
    </row>
    <row r="107">
      <c r="A107" s="20" t="n">
        <v>103</v>
      </c>
      <c r="B107" s="23" t="inlineStr">
        <is>
          <t>Полюс Красноярск</t>
        </is>
      </c>
      <c r="C107" s="20" t="inlineStr">
        <is>
          <t>NTE240</t>
        </is>
      </c>
      <c r="D107" s="20" t="inlineStr">
        <is>
          <t>NHLTBABACSB200097</t>
        </is>
      </c>
      <c r="E107" s="20" t="inlineStr">
        <is>
          <t>267</t>
        </is>
      </c>
      <c r="F107" s="22" t="n">
        <v>45904</v>
      </c>
      <c r="G107" s="22" t="n">
        <v>46268</v>
      </c>
      <c r="H107" s="6">
        <f>ROUND((G107-F107)/30.44,0)</f>
        <v>12</v>
      </c>
    </row>
    <row r="108">
      <c r="A108" s="20" t="n">
        <v>104</v>
      </c>
      <c r="B108" s="23" t="inlineStr">
        <is>
          <t>Полюс Красноярск</t>
        </is>
      </c>
      <c r="C108" s="20" t="inlineStr">
        <is>
          <t>NTE240</t>
        </is>
      </c>
      <c r="D108" s="20" t="inlineStr">
        <is>
          <t>NHLTBABATSB200098</t>
        </is>
      </c>
      <c r="E108" s="20" t="inlineStr">
        <is>
          <t>268</t>
        </is>
      </c>
      <c r="F108" s="22" t="n">
        <v>45912</v>
      </c>
      <c r="G108" s="22" t="n">
        <v>46276</v>
      </c>
      <c r="H108" s="6">
        <f>ROUND((G108-F108)/30.44,0)</f>
        <v>12</v>
      </c>
    </row>
    <row r="109">
      <c r="A109" s="20" t="n">
        <v>105</v>
      </c>
      <c r="B109" s="23" t="inlineStr">
        <is>
          <t>Полюс Красноярск</t>
        </is>
      </c>
      <c r="C109" s="20" t="inlineStr">
        <is>
          <t>NTE240</t>
        </is>
      </c>
      <c r="D109" s="20" t="inlineStr">
        <is>
          <t>NHLTBABAPSB200099</t>
        </is>
      </c>
      <c r="E109" s="20" t="inlineStr">
        <is>
          <t>269</t>
        </is>
      </c>
      <c r="F109" s="22" t="n">
        <v>45922</v>
      </c>
      <c r="G109" s="22" t="n">
        <v>46286</v>
      </c>
      <c r="H109" s="6">
        <f>ROUND((G109-F109)/30.44,0)</f>
        <v>12</v>
      </c>
    </row>
    <row r="110">
      <c r="A110" s="20" t="n">
        <v>106</v>
      </c>
      <c r="B110" s="23" t="inlineStr">
        <is>
          <t>Полюс Красноярск</t>
        </is>
      </c>
      <c r="C110" s="20" t="inlineStr">
        <is>
          <t>NTE240</t>
        </is>
      </c>
      <c r="D110" s="20" t="inlineStr">
        <is>
          <t>NHLTBABAHSB200100</t>
        </is>
      </c>
      <c r="E110" s="20" t="inlineStr">
        <is>
          <t>270</t>
        </is>
      </c>
      <c r="F110" s="22" t="n">
        <v>45925</v>
      </c>
      <c r="G110" s="22" t="n">
        <v>46289</v>
      </c>
      <c r="H110" s="6">
        <f>ROUND((G110-F110)/30.44,0)</f>
        <v>12</v>
      </c>
    </row>
    <row r="111">
      <c r="A111" s="20" t="n">
        <v>107</v>
      </c>
      <c r="B111" s="23" t="inlineStr">
        <is>
          <t>Полюс Красноярск</t>
        </is>
      </c>
      <c r="C111" s="20" t="inlineStr">
        <is>
          <t>NTE240</t>
        </is>
      </c>
      <c r="D111" s="20" t="inlineStr">
        <is>
          <t>NHLTBABAESB200101</t>
        </is>
      </c>
      <c r="E111" s="20" t="inlineStr">
        <is>
          <t>271</t>
        </is>
      </c>
      <c r="F111" s="22" t="n">
        <v>45933</v>
      </c>
      <c r="G111" s="22" t="n">
        <v>46297</v>
      </c>
      <c r="H111" s="6">
        <f>ROUND((G111-F111)/30.44,0)</f>
        <v>12</v>
      </c>
    </row>
    <row r="112">
      <c r="A112" s="20" t="n">
        <v>108</v>
      </c>
      <c r="B112" s="23" t="inlineStr">
        <is>
          <t>Полюс Красноярск</t>
        </is>
      </c>
      <c r="C112" s="20" t="inlineStr">
        <is>
          <t>NTE240</t>
        </is>
      </c>
      <c r="D112" s="20" t="inlineStr">
        <is>
          <t>NHLTBABACSB200102</t>
        </is>
      </c>
      <c r="E112" s="20" t="inlineStr">
        <is>
          <t>272</t>
        </is>
      </c>
      <c r="F112" s="22" t="n">
        <v>45942</v>
      </c>
      <c r="G112" s="22" t="n">
        <v>46671</v>
      </c>
      <c r="H112" s="6">
        <f>ROUND((G112-F112)/30.44,0)</f>
        <v>24</v>
      </c>
    </row>
    <row r="113">
      <c r="A113" s="20" t="n">
        <v>109</v>
      </c>
      <c r="B113" s="23" t="inlineStr">
        <is>
          <t>Полюс Красноярск</t>
        </is>
      </c>
      <c r="C113" s="20" t="inlineStr">
        <is>
          <t>NTE240</t>
        </is>
      </c>
      <c r="D113" s="20" t="inlineStr">
        <is>
          <t>NHLTBABATSB200103</t>
        </is>
      </c>
      <c r="E113" s="20" t="inlineStr">
        <is>
          <t>273</t>
        </is>
      </c>
      <c r="F113" s="22" t="n">
        <v>45944</v>
      </c>
      <c r="G113" s="22" t="n">
        <v>46673</v>
      </c>
      <c r="H113" s="6">
        <f>ROUND((G113-F113)/30.44,0)</f>
        <v>24</v>
      </c>
    </row>
    <row r="114">
      <c r="A114" s="20" t="n">
        <v>110</v>
      </c>
      <c r="B114" s="23" t="inlineStr">
        <is>
          <t>Полюс Красноярск</t>
        </is>
      </c>
      <c r="C114" s="20" t="inlineStr">
        <is>
          <t>NTE240</t>
        </is>
      </c>
      <c r="D114" s="20" t="inlineStr">
        <is>
          <t>NHLTBABAPSB200104</t>
        </is>
      </c>
      <c r="E114" s="20" t="inlineStr">
        <is>
          <t>274</t>
        </is>
      </c>
      <c r="F114" s="22" t="n">
        <v>45950</v>
      </c>
      <c r="G114" s="22" t="n">
        <v>46679</v>
      </c>
      <c r="H114" s="6">
        <f>ROUND((G114-F114)/30.44,0)</f>
        <v>24</v>
      </c>
    </row>
    <row r="115">
      <c r="A115" s="20" t="n">
        <v>111</v>
      </c>
      <c r="B115" s="21" t="inlineStr">
        <is>
          <t>Полюс Магадан</t>
        </is>
      </c>
      <c r="C115" s="20" t="inlineStr">
        <is>
          <t>NTE200</t>
        </is>
      </c>
      <c r="D115" s="20" t="inlineStr">
        <is>
          <t>NHLT0ABAPSB100123</t>
        </is>
      </c>
      <c r="E115" s="20" t="inlineStr">
        <is>
          <t>81</t>
        </is>
      </c>
      <c r="F115" s="22" t="n">
        <v>45957</v>
      </c>
      <c r="G115" s="22" t="n">
        <v>46686</v>
      </c>
      <c r="H115" s="6">
        <f>ROUND((G115-F115)/30.44,0)</f>
        <v>24</v>
      </c>
    </row>
    <row r="116">
      <c r="A116" s="20" t="n">
        <v>112</v>
      </c>
      <c r="B116" s="23" t="inlineStr">
        <is>
          <t>Полюс Красноярск</t>
        </is>
      </c>
      <c r="C116" s="20" t="inlineStr">
        <is>
          <t>NTE240</t>
        </is>
      </c>
      <c r="D116" s="20" t="inlineStr">
        <is>
          <t>NHLTBABAKSB200105</t>
        </is>
      </c>
      <c r="E116" s="20" t="inlineStr">
        <is>
          <t>275</t>
        </is>
      </c>
      <c r="F116" s="22" t="n">
        <v>45958</v>
      </c>
      <c r="G116" s="22" t="n">
        <v>46687</v>
      </c>
      <c r="H116" s="6">
        <f>ROUND((G116-F116)/30.44,0)</f>
        <v>24</v>
      </c>
    </row>
    <row r="117">
      <c r="A117" s="20" t="n">
        <v>113</v>
      </c>
      <c r="B117" s="21" t="inlineStr">
        <is>
          <t>Полюс Магадан</t>
        </is>
      </c>
      <c r="C117" s="20" t="inlineStr">
        <is>
          <t>NTE200</t>
        </is>
      </c>
      <c r="D117" s="20" t="inlineStr">
        <is>
          <t>NHLT0ABAKSB100124</t>
        </is>
      </c>
      <c r="E117" s="20" t="inlineStr">
        <is>
          <t>79</t>
        </is>
      </c>
      <c r="F117" s="22" t="n">
        <v>45964</v>
      </c>
      <c r="G117" s="22" t="n">
        <v>46693</v>
      </c>
      <c r="H117" s="6">
        <f>ROUND((G117-F117)/30.44,0)</f>
        <v>24</v>
      </c>
    </row>
    <row r="118">
      <c r="A118" s="20" t="n">
        <v>114</v>
      </c>
      <c r="B118" s="21" t="inlineStr">
        <is>
          <t>Полюс Магадан</t>
        </is>
      </c>
      <c r="C118" s="20" t="inlineStr">
        <is>
          <t>NTE200</t>
        </is>
      </c>
      <c r="D118" s="20" t="inlineStr">
        <is>
          <t>NHLT0ABAJSB100125</t>
        </is>
      </c>
      <c r="E118" s="20" t="inlineStr">
        <is>
          <t>80</t>
        </is>
      </c>
      <c r="F118" s="22" t="n">
        <v>45968</v>
      </c>
      <c r="G118" s="22" t="n">
        <v>46697</v>
      </c>
      <c r="H118" s="6">
        <f>ROUND((G118-F118)/30.44,0)</f>
        <v>24</v>
      </c>
    </row>
    <row r="119">
      <c r="A119" s="20" t="n">
        <v>115</v>
      </c>
      <c r="B119" s="21" t="inlineStr">
        <is>
          <t>Полюс Магадан</t>
        </is>
      </c>
      <c r="C119" s="20" t="inlineStr">
        <is>
          <t>NTE200</t>
        </is>
      </c>
      <c r="D119" s="20" t="inlineStr">
        <is>
          <t>NHLT0ABACSB100126</t>
        </is>
      </c>
      <c r="E119" s="20" t="inlineStr">
        <is>
          <t>82</t>
        </is>
      </c>
      <c r="F119" s="22" t="n">
        <v>45983</v>
      </c>
      <c r="G119" s="22" t="n">
        <v>46712</v>
      </c>
      <c r="H119" s="6">
        <f>ROUND((G119-F119)/30.44,0)</f>
        <v>24</v>
      </c>
    </row>
    <row r="120">
      <c r="A120" s="20" t="n">
        <v>116</v>
      </c>
      <c r="B120" s="21" t="inlineStr">
        <is>
          <t>Полюс Магадан</t>
        </is>
      </c>
      <c r="C120" s="20" t="inlineStr">
        <is>
          <t>NTE200</t>
        </is>
      </c>
      <c r="D120" s="20" t="inlineStr">
        <is>
          <t>NHLT0ABAVSB100127</t>
        </is>
      </c>
      <c r="E120" s="20" t="inlineStr">
        <is>
          <t>83</t>
        </is>
      </c>
      <c r="F120" s="22" t="n">
        <v>45986</v>
      </c>
      <c r="G120" s="22" t="n">
        <v>46715</v>
      </c>
      <c r="H120" s="6">
        <f>ROUND((G120-F120)/30.44,0)</f>
        <v>24</v>
      </c>
    </row>
    <row r="121">
      <c r="A121" s="20" t="n">
        <v>117</v>
      </c>
      <c r="B121" s="21" t="inlineStr">
        <is>
          <t>Полюс Магадан</t>
        </is>
      </c>
      <c r="C121" s="20" t="inlineStr">
        <is>
          <t>NTE200</t>
        </is>
      </c>
      <c r="D121" s="20" t="inlineStr">
        <is>
          <t>NHLT0ABALSB100129</t>
        </is>
      </c>
      <c r="E121" s="20" t="inlineStr">
        <is>
          <t>85</t>
        </is>
      </c>
      <c r="F121" s="22" t="n">
        <v>45993</v>
      </c>
      <c r="G121" s="22" t="n">
        <v>46722</v>
      </c>
      <c r="H121" s="6">
        <f>ROUND((G121-F121)/30.44,0)</f>
        <v>24</v>
      </c>
    </row>
    <row r="122">
      <c r="A122" s="20" t="n">
        <v>118</v>
      </c>
      <c r="B122" s="21" t="inlineStr">
        <is>
          <t>Полюс Магадан</t>
        </is>
      </c>
      <c r="C122" s="20" t="inlineStr">
        <is>
          <t>NTE200</t>
        </is>
      </c>
      <c r="D122" s="20" t="inlineStr">
        <is>
          <t>NHLT0ABAASB100131</t>
        </is>
      </c>
      <c r="E122" s="20" t="inlineStr">
        <is>
          <t>87</t>
        </is>
      </c>
      <c r="F122" s="22" t="n">
        <v>46000</v>
      </c>
      <c r="G122" s="22" t="n">
        <v>46729</v>
      </c>
      <c r="H122" s="6">
        <f>ROUND((G122-F122)/30.44,0)</f>
        <v>24</v>
      </c>
    </row>
    <row r="123">
      <c r="A123" s="20" t="n">
        <v>119</v>
      </c>
      <c r="B123" s="21" t="inlineStr">
        <is>
          <t>Полюс Магадан</t>
        </is>
      </c>
      <c r="C123" s="20" t="inlineStr">
        <is>
          <t>NTE200</t>
        </is>
      </c>
      <c r="D123" s="20" t="inlineStr">
        <is>
          <t>NHLT0ABAVSB100130</t>
        </is>
      </c>
      <c r="E123" s="20" t="inlineStr">
        <is>
          <t>86</t>
        </is>
      </c>
      <c r="F123" s="22" t="n">
        <v>46004</v>
      </c>
      <c r="G123" s="22" t="n">
        <v>46733</v>
      </c>
      <c r="H123" s="6">
        <f>ROUND((G123-F123)/30.44,0)</f>
        <v>24</v>
      </c>
    </row>
    <row r="124">
      <c r="A124" s="20" t="n">
        <v>120</v>
      </c>
      <c r="B124" s="21" t="inlineStr">
        <is>
          <t>Полюс Магадан</t>
        </is>
      </c>
      <c r="C124" s="20" t="inlineStr">
        <is>
          <t>NTE200</t>
        </is>
      </c>
      <c r="D124" s="20" t="inlineStr">
        <is>
          <t>NHLT0ABAHSB100133</t>
        </is>
      </c>
      <c r="E124" s="20" t="inlineStr">
        <is>
          <t>89</t>
        </is>
      </c>
      <c r="F124" s="22" t="n">
        <v>46009</v>
      </c>
      <c r="G124" s="22" t="n">
        <v>46738</v>
      </c>
      <c r="H124" s="6">
        <f>ROUND((G124-F124)/30.44,0)</f>
        <v>24</v>
      </c>
    </row>
    <row r="125">
      <c r="A125" s="20" t="n">
        <v>121</v>
      </c>
      <c r="B125" s="21" t="inlineStr">
        <is>
          <t>Полюс Магадан</t>
        </is>
      </c>
      <c r="C125" s="20" t="inlineStr">
        <is>
          <t>NTE200</t>
        </is>
      </c>
      <c r="D125" s="20" t="inlineStr">
        <is>
          <t>NHLT0ABAASB100128</t>
        </is>
      </c>
      <c r="E125" s="20" t="inlineStr">
        <is>
          <t>84</t>
        </is>
      </c>
      <c r="F125" s="22" t="n">
        <v>46013</v>
      </c>
      <c r="G125" s="22" t="n">
        <v>46742</v>
      </c>
      <c r="H125" s="6">
        <f>ROUND((G125-F125)/30.44,0)</f>
        <v>24</v>
      </c>
    </row>
    <row r="126">
      <c r="A126" s="20" t="n">
        <v>122</v>
      </c>
      <c r="B126" s="21" t="inlineStr">
        <is>
          <t>Полюс Магадан</t>
        </is>
      </c>
      <c r="C126" s="20" t="inlineStr">
        <is>
          <t>NTE200</t>
        </is>
      </c>
      <c r="D126" s="20" t="inlineStr">
        <is>
          <t>NHLT0ABALSB100132</t>
        </is>
      </c>
      <c r="E126" s="20" t="inlineStr">
        <is>
          <t>88</t>
        </is>
      </c>
      <c r="F126" s="22" t="n">
        <v>46018</v>
      </c>
      <c r="G126" s="22" t="n">
        <v>46747</v>
      </c>
      <c r="H126" s="6">
        <f>ROUND((G126-F126)/30.44,0)</f>
        <v>24</v>
      </c>
    </row>
    <row r="127">
      <c r="A127" s="20" t="n">
        <v>123</v>
      </c>
      <c r="B127" s="23" t="inlineStr">
        <is>
          <t>Полюс Красноярск</t>
        </is>
      </c>
      <c r="C127" s="20" t="inlineStr">
        <is>
          <t>NTE240</t>
        </is>
      </c>
      <c r="D127" s="20" t="inlineStr">
        <is>
          <t>NHLTBABACSB2A0135</t>
        </is>
      </c>
      <c r="E127" s="20" t="inlineStr">
        <is>
          <t>276</t>
        </is>
      </c>
      <c r="F127" s="22" t="n">
        <v>46076</v>
      </c>
      <c r="G127" s="22" t="n">
        <v>46805</v>
      </c>
      <c r="H127" s="6">
        <f>ROUND((G127-F127)/30.44,0)</f>
        <v>24</v>
      </c>
    </row>
    <row r="128">
      <c r="A128" s="20" t="n">
        <v>124</v>
      </c>
      <c r="B128" s="23" t="inlineStr">
        <is>
          <t>Полюс Красноярск</t>
        </is>
      </c>
      <c r="C128" s="20" t="inlineStr">
        <is>
          <t>NTE240</t>
        </is>
      </c>
      <c r="D128" s="20" t="inlineStr">
        <is>
          <t>NHLTBABAJSB2A0134</t>
        </is>
      </c>
      <c r="E128" s="20" t="inlineStr">
        <is>
          <t>277</t>
        </is>
      </c>
      <c r="F128" s="22" t="n">
        <v>46078</v>
      </c>
      <c r="G128" s="22" t="n">
        <v>46807</v>
      </c>
      <c r="H128" s="6">
        <f>ROUND((G128-F128)/30.44,0)</f>
        <v>24</v>
      </c>
    </row>
    <row r="129">
      <c r="A129" s="20" t="n">
        <v>125</v>
      </c>
      <c r="B129" s="23" t="inlineStr">
        <is>
          <t>Полюс Красноярск</t>
        </is>
      </c>
      <c r="C129" s="20" t="inlineStr">
        <is>
          <t>NTE240</t>
        </is>
      </c>
      <c r="D129" s="20" t="inlineStr">
        <is>
          <t>NHLTBABAKSB2A0133</t>
        </is>
      </c>
      <c r="E129" s="20" t="inlineStr">
        <is>
          <t>278</t>
        </is>
      </c>
      <c r="F129" s="22" t="n">
        <v>46088</v>
      </c>
      <c r="G129" s="22" t="n">
        <v>46818</v>
      </c>
      <c r="H129" s="6">
        <f>ROUND((G129-F129)/30.44,0)</f>
        <v>24</v>
      </c>
    </row>
    <row r="130">
      <c r="A130" s="20" t="n">
        <v>126</v>
      </c>
      <c r="B130" s="23" t="inlineStr">
        <is>
          <t>Полюс Красноярск</t>
        </is>
      </c>
      <c r="C130" s="20" t="inlineStr">
        <is>
          <t>NTE240</t>
        </is>
      </c>
      <c r="D130" s="20" t="inlineStr">
        <is>
          <t>NHLTBABAVSB2A0136</t>
        </is>
      </c>
      <c r="E130" s="20" t="inlineStr">
        <is>
          <t>279</t>
        </is>
      </c>
      <c r="F130" s="22" t="n">
        <v>46102</v>
      </c>
      <c r="G130" s="22" t="n">
        <v>46832</v>
      </c>
      <c r="H130" s="6">
        <f>ROUND((G130-F130)/30.44,0)</f>
        <v>24</v>
      </c>
    </row>
    <row r="131">
      <c r="A131" s="20" t="n">
        <v>127</v>
      </c>
      <c r="B131" s="23" t="inlineStr">
        <is>
          <t>Полюс Красноярск</t>
        </is>
      </c>
      <c r="C131" s="20" t="inlineStr">
        <is>
          <t>NTE240</t>
        </is>
      </c>
      <c r="D131" s="20" t="inlineStr">
        <is>
          <t>NHLTBABAHSB2A0139</t>
        </is>
      </c>
      <c r="E131" s="20" t="inlineStr">
        <is>
          <t>280</t>
        </is>
      </c>
      <c r="F131" s="22" t="n">
        <v>46106</v>
      </c>
      <c r="G131" s="22" t="n">
        <v>46836</v>
      </c>
      <c r="H131" s="6">
        <f>ROUND((G131-F131)/30.44,0)</f>
        <v>24</v>
      </c>
    </row>
    <row r="132">
      <c r="A132" s="20" t="n">
        <v>128</v>
      </c>
      <c r="B132" s="23" t="inlineStr">
        <is>
          <t>Полюс Красноярск</t>
        </is>
      </c>
      <c r="C132" s="20" t="inlineStr">
        <is>
          <t>NTE240</t>
        </is>
      </c>
      <c r="D132" s="20" t="inlineStr">
        <is>
          <t>NHLTBABAASB2A0137</t>
        </is>
      </c>
      <c r="E132" s="20" t="inlineStr">
        <is>
          <t>281</t>
        </is>
      </c>
      <c r="F132" s="22" t="n">
        <v>46109</v>
      </c>
      <c r="G132" s="22" t="n">
        <v>46839</v>
      </c>
      <c r="H132" s="6">
        <f>ROUND((G132-F132)/30.44,0)</f>
        <v>24</v>
      </c>
    </row>
    <row r="133">
      <c r="A133" s="20" t="n">
        <v>129</v>
      </c>
      <c r="B133" s="23" t="inlineStr">
        <is>
          <t>Полюс Красноярск</t>
        </is>
      </c>
      <c r="C133" s="20" t="inlineStr">
        <is>
          <t>NTE240</t>
        </is>
      </c>
      <c r="D133" s="20" t="inlineStr">
        <is>
          <t>NHLTBABALSB2A0141</t>
        </is>
      </c>
      <c r="E133" s="20" t="inlineStr">
        <is>
          <t>282</t>
        </is>
      </c>
      <c r="F133" s="22" t="n">
        <v>46117</v>
      </c>
      <c r="G133" s="22" t="n">
        <v>46847</v>
      </c>
      <c r="H133" s="6">
        <f>ROUND((G133-F133)/30.44,0)</f>
        <v>24</v>
      </c>
    </row>
    <row r="134">
      <c r="A134" s="20" t="n">
        <v>130</v>
      </c>
      <c r="B134" s="23" t="inlineStr">
        <is>
          <t>Полюс Красноярск</t>
        </is>
      </c>
      <c r="C134" s="20" t="inlineStr">
        <is>
          <t>NTE240</t>
        </is>
      </c>
      <c r="D134" s="20" t="inlineStr">
        <is>
          <t>NHLTBABACSB2A0144</t>
        </is>
      </c>
      <c r="E134" s="20" t="inlineStr">
        <is>
          <t>283</t>
        </is>
      </c>
      <c r="F134" s="22" t="n">
        <v>46120</v>
      </c>
      <c r="G134" s="22" t="n">
        <v>46850</v>
      </c>
      <c r="H134" s="6">
        <f>ROUND((G134-F134)/30.44,0)</f>
        <v>24</v>
      </c>
    </row>
    <row r="135">
      <c r="A135" s="24" t="inlineStr">
        <is>
          <t>ИТОГО</t>
        </is>
      </c>
      <c r="B135" s="24" t="inlineStr">
        <is>
          <t>машин всего</t>
        </is>
      </c>
      <c r="C135" s="25" t="n"/>
      <c r="D135" s="25" t="n"/>
      <c r="E135" s="26">
        <f>COUNTA(D5:D134)</f>
        <v>130</v>
      </c>
      <c r="F135" s="25" t="n"/>
      <c r="G135" s="25" t="n"/>
      <c r="H135" s="25" t="n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0" customWidth="1" min="3" max="3"/>
    <col width="11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1" customWidth="1" min="10" max="10"/>
    <col width="12" customWidth="1" min="11" max="11"/>
    <col width="13" customWidth="1" min="12" max="12"/>
  </cols>
  <sheetData>
    <row r="1" ht="24" customHeight="1">
      <c r="A1" s="1" t="inlineStr">
        <is>
          <t>МОДЕЛЬ РАСЧЁТА ОБОРОТНЫХ ГАРАНТИЙНЫХ КОМПОНЕНТОВ ПО МЕСЯЦАМ</t>
        </is>
      </c>
    </row>
    <row r="3">
      <c r="A3" s="27" t="inlineStr">
        <is>
          <t>ПАРАМЕТРЫ НОРМИРОВАНИЯ ОБОРОТНОГО ФОНДА (жёлтые ячейки — редактируемые)</t>
        </is>
      </c>
    </row>
    <row r="4">
      <c r="A4" s="28" t="inlineStr">
        <is>
          <t>Самосвалов на 1 комплект</t>
        </is>
      </c>
      <c r="E4" s="29" t="n">
        <v>10</v>
      </c>
    </row>
    <row r="5">
      <c r="A5" s="28" t="inlineStr">
        <is>
          <t>ДВС на 1 комплект, шт</t>
        </is>
      </c>
      <c r="E5" s="29" t="n">
        <v>1</v>
      </c>
    </row>
    <row r="6">
      <c r="A6" s="28" t="inlineStr">
        <is>
          <t>Мотор-колёс на 1 комплект, шт</t>
        </is>
      </c>
      <c r="E6" s="29" t="n">
        <v>2</v>
      </c>
    </row>
    <row r="7">
      <c r="A7" s="28" t="inlineStr">
        <is>
          <t>Силовой генератор на 1 комплект, шт</t>
        </is>
      </c>
      <c r="E7" s="29" t="n">
        <v>1</v>
      </c>
    </row>
    <row r="9" ht="42" customHeight="1">
      <c r="A9" s="18" t="inlineStr">
        <is>
          <t>Логика: «10 самосвалов на гарантии → 1 ДВС + 2 мотор-колеса + 1 силовой генератор». Комплекты считаются ОТДЕЛЬНО по каждой площадке (склад оборотного фонда локален), округляются ВВЕРХ, затем суммируются. Машина «на гарантии» в месяце, если введена не позже конца месяца и гарантия не истекла до начала месяца.</t>
        </is>
      </c>
    </row>
    <row r="11" ht="46" customHeight="1">
      <c r="A11" s="19" t="inlineStr">
        <is>
          <t>Месяц</t>
        </is>
      </c>
      <c r="B11" s="19" t="inlineStr">
        <is>
          <t>Год</t>
        </is>
      </c>
      <c r="C11" s="19" t="inlineStr">
        <is>
          <t>Ввод в экспл.
за месяц</t>
        </is>
      </c>
      <c r="D11" s="19" t="inlineStr">
        <is>
          <t>Выход с гарантии
за месяц</t>
        </is>
      </c>
      <c r="E11" s="30" t="inlineStr">
        <is>
          <t>На гарантии
Красноярск
(NTE240)</t>
        </is>
      </c>
      <c r="F11" s="19" t="inlineStr">
        <is>
          <t>На гарантии
Магадан
(NTE200)</t>
        </is>
      </c>
      <c r="G11" s="31" t="inlineStr">
        <is>
          <t>На гарантии
ВСЕГО</t>
        </is>
      </c>
      <c r="H11" s="30" t="inlineStr">
        <is>
          <t>Комплектов
Красноярск</t>
        </is>
      </c>
      <c r="I11" s="19" t="inlineStr">
        <is>
          <t>Комплектов
Магадан</t>
        </is>
      </c>
      <c r="J11" s="31" t="inlineStr">
        <is>
          <t>ДВС
требуется, шт</t>
        </is>
      </c>
      <c r="K11" s="31" t="inlineStr">
        <is>
          <t>Мотор-колёса
требуется, шт</t>
        </is>
      </c>
      <c r="L11" s="31" t="inlineStr">
        <is>
          <t>Силовой генератор
требуется, шт</t>
        </is>
      </c>
    </row>
    <row r="12">
      <c r="A12" s="32" t="n">
        <v>45323</v>
      </c>
      <c r="B12" s="6">
        <f>YEAR(A12)</f>
        <v>2024</v>
      </c>
      <c r="C12" s="6">
        <f>COUNTIFS('Парк NTE'!$F$5:$F$134,"&gt;="&amp;A12,'Парк NTE'!$F$5:$F$134,"&lt;="&amp;EOMONTH(A12,0))</f>
        <v>8</v>
      </c>
      <c r="D12" s="6">
        <f>COUNTIFS('Парк NTE'!$G$5:$G$134,"&gt;="&amp;A12,'Парк NTE'!$G$5:$G$134,"&lt;="&amp;EOMONTH(A12,0))</f>
        <v>0</v>
      </c>
      <c r="E12" s="33">
        <f>SUMPRODUCT(('Парк NTE'!$B$5:$B$134="Полюс Красноярск")*('Парк NTE'!$F$5:$F$134&lt;=EOMONTH(A12,0))*('Парк NTE'!$G$5:$G$134&gt;=A12))</f>
        <v>2</v>
      </c>
      <c r="F12" s="34">
        <f>SUMPRODUCT(('Парк NTE'!$B$5:$B$134="Полюс Магадан")*('Парк NTE'!$F$5:$F$134&lt;=EOMONTH(A12,0))*('Парк NTE'!$G$5:$G$134&gt;=A12))</f>
        <v>6</v>
      </c>
      <c r="G12" s="35">
        <f>E12+F12</f>
        <v>8</v>
      </c>
      <c r="H12" s="33">
        <f>ROUNDUP(E12/$E$4,0)</f>
        <v>1</v>
      </c>
      <c r="I12" s="34">
        <f>ROUNDUP(F12/$E$4,0)</f>
        <v>1</v>
      </c>
      <c r="J12" s="14">
        <f>(H12+I12)*$E$5</f>
        <v>2</v>
      </c>
      <c r="K12" s="14">
        <f>(H12+I12)*$E$6</f>
        <v>4</v>
      </c>
      <c r="L12" s="14">
        <f>(H12+I12)*$E$7</f>
        <v>2</v>
      </c>
    </row>
    <row r="13">
      <c r="A13" s="32" t="n">
        <v>45352</v>
      </c>
      <c r="B13" s="6">
        <f>YEAR(A13)</f>
        <v>2024</v>
      </c>
      <c r="C13" s="6">
        <f>COUNTIFS('Парк NTE'!$F$5:$F$134,"&gt;="&amp;A13,'Парк NTE'!$F$5:$F$134,"&lt;="&amp;EOMONTH(A13,0))</f>
        <v>10</v>
      </c>
      <c r="D13" s="6">
        <f>COUNTIFS('Парк NTE'!$G$5:$G$134,"&gt;="&amp;A13,'Парк NTE'!$G$5:$G$134,"&lt;="&amp;EOMONTH(A13,0))</f>
        <v>0</v>
      </c>
      <c r="E13" s="33">
        <f>SUMPRODUCT(('Парк NTE'!$B$5:$B$134="Полюс Красноярск")*('Парк NTE'!$F$5:$F$134&lt;=EOMONTH(A13,0))*('Парк NTE'!$G$5:$G$134&gt;=A13))</f>
        <v>7</v>
      </c>
      <c r="F13" s="34">
        <f>SUMPRODUCT(('Парк NTE'!$B$5:$B$134="Полюс Магадан")*('Парк NTE'!$F$5:$F$134&lt;=EOMONTH(A13,0))*('Парк NTE'!$G$5:$G$134&gt;=A13))</f>
        <v>11</v>
      </c>
      <c r="G13" s="35">
        <f>E13+F13</f>
        <v>18</v>
      </c>
      <c r="H13" s="33">
        <f>ROUNDUP(E13/$E$4,0)</f>
        <v>1</v>
      </c>
      <c r="I13" s="34">
        <f>ROUNDUP(F13/$E$4,0)</f>
        <v>2</v>
      </c>
      <c r="J13" s="14">
        <f>(H13+I13)*$E$5</f>
        <v>3</v>
      </c>
      <c r="K13" s="14">
        <f>(H13+I13)*$E$6</f>
        <v>6</v>
      </c>
      <c r="L13" s="14">
        <f>(H13+I13)*$E$7</f>
        <v>3</v>
      </c>
    </row>
    <row r="14">
      <c r="A14" s="32" t="n">
        <v>45383</v>
      </c>
      <c r="B14" s="6">
        <f>YEAR(A14)</f>
        <v>2024</v>
      </c>
      <c r="C14" s="6">
        <f>COUNTIFS('Парк NTE'!$F$5:$F$134,"&gt;="&amp;A14,'Парк NTE'!$F$5:$F$134,"&lt;="&amp;EOMONTH(A14,0))</f>
        <v>10</v>
      </c>
      <c r="D14" s="6">
        <f>COUNTIFS('Парк NTE'!$G$5:$G$134,"&gt;="&amp;A14,'Парк NTE'!$G$5:$G$134,"&lt;="&amp;EOMONTH(A14,0))</f>
        <v>0</v>
      </c>
      <c r="E14" s="33">
        <f>SUMPRODUCT(('Парк NTE'!$B$5:$B$134="Полюс Красноярск")*('Парк NTE'!$F$5:$F$134&lt;=EOMONTH(A14,0))*('Парк NTE'!$G$5:$G$134&gt;=A14))</f>
        <v>12</v>
      </c>
      <c r="F14" s="34">
        <f>SUMPRODUCT(('Парк NTE'!$B$5:$B$134="Полюс Магадан")*('Парк NTE'!$F$5:$F$134&lt;=EOMONTH(A14,0))*('Парк NTE'!$G$5:$G$134&gt;=A14))</f>
        <v>16</v>
      </c>
      <c r="G14" s="35">
        <f>E14+F14</f>
        <v>28</v>
      </c>
      <c r="H14" s="33">
        <f>ROUNDUP(E14/$E$4,0)</f>
        <v>2</v>
      </c>
      <c r="I14" s="34">
        <f>ROUNDUP(F14/$E$4,0)</f>
        <v>2</v>
      </c>
      <c r="J14" s="14">
        <f>(H14+I14)*$E$5</f>
        <v>4</v>
      </c>
      <c r="K14" s="14">
        <f>(H14+I14)*$E$6</f>
        <v>8</v>
      </c>
      <c r="L14" s="14">
        <f>(H14+I14)*$E$7</f>
        <v>4</v>
      </c>
    </row>
    <row r="15">
      <c r="A15" s="32" t="n">
        <v>45413</v>
      </c>
      <c r="B15" s="6">
        <f>YEAR(A15)</f>
        <v>2024</v>
      </c>
      <c r="C15" s="6">
        <f>COUNTIFS('Парк NTE'!$F$5:$F$134,"&gt;="&amp;A15,'Парк NTE'!$F$5:$F$134,"&lt;="&amp;EOMONTH(A15,0))</f>
        <v>8</v>
      </c>
      <c r="D15" s="6">
        <f>COUNTIFS('Парк NTE'!$G$5:$G$134,"&gt;="&amp;A15,'Парк NTE'!$G$5:$G$134,"&lt;="&amp;EOMONTH(A15,0))</f>
        <v>0</v>
      </c>
      <c r="E15" s="33">
        <f>SUMPRODUCT(('Парк NTE'!$B$5:$B$134="Полюс Красноярск")*('Парк NTE'!$F$5:$F$134&lt;=EOMONTH(A15,0))*('Парк NTE'!$G$5:$G$134&gt;=A15))</f>
        <v>17</v>
      </c>
      <c r="F15" s="34">
        <f>SUMPRODUCT(('Парк NTE'!$B$5:$B$134="Полюс Магадан")*('Парк NTE'!$F$5:$F$134&lt;=EOMONTH(A15,0))*('Парк NTE'!$G$5:$G$134&gt;=A15))</f>
        <v>19</v>
      </c>
      <c r="G15" s="35">
        <f>E15+F15</f>
        <v>36</v>
      </c>
      <c r="H15" s="33">
        <f>ROUNDUP(E15/$E$4,0)</f>
        <v>2</v>
      </c>
      <c r="I15" s="34">
        <f>ROUNDUP(F15/$E$4,0)</f>
        <v>2</v>
      </c>
      <c r="J15" s="14">
        <f>(H15+I15)*$E$5</f>
        <v>4</v>
      </c>
      <c r="K15" s="14">
        <f>(H15+I15)*$E$6</f>
        <v>8</v>
      </c>
      <c r="L15" s="14">
        <f>(H15+I15)*$E$7</f>
        <v>4</v>
      </c>
    </row>
    <row r="16">
      <c r="A16" s="32" t="n">
        <v>45444</v>
      </c>
      <c r="B16" s="6">
        <f>YEAR(A16)</f>
        <v>2024</v>
      </c>
      <c r="C16" s="6">
        <f>COUNTIFS('Парк NTE'!$F$5:$F$134,"&gt;="&amp;A16,'Парк NTE'!$F$5:$F$134,"&lt;="&amp;EOMONTH(A16,0))</f>
        <v>5</v>
      </c>
      <c r="D16" s="6">
        <f>COUNTIFS('Парк NTE'!$G$5:$G$134,"&gt;="&amp;A16,'Парк NTE'!$G$5:$G$134,"&lt;="&amp;EOMONTH(A16,0))</f>
        <v>0</v>
      </c>
      <c r="E16" s="33">
        <f>SUMPRODUCT(('Парк NTE'!$B$5:$B$134="Полюс Красноярск")*('Парк NTE'!$F$5:$F$134&lt;=EOMONTH(A16,0))*('Парк NTE'!$G$5:$G$134&gt;=A16))</f>
        <v>21</v>
      </c>
      <c r="F16" s="34">
        <f>SUMPRODUCT(('Парк NTE'!$B$5:$B$134="Полюс Магадан")*('Парк NTE'!$F$5:$F$134&lt;=EOMONTH(A16,0))*('Парк NTE'!$G$5:$G$134&gt;=A16))</f>
        <v>20</v>
      </c>
      <c r="G16" s="35">
        <f>E16+F16</f>
        <v>41</v>
      </c>
      <c r="H16" s="33">
        <f>ROUNDUP(E16/$E$4,0)</f>
        <v>3</v>
      </c>
      <c r="I16" s="34">
        <f>ROUNDUP(F16/$E$4,0)</f>
        <v>2</v>
      </c>
      <c r="J16" s="14">
        <f>(H16+I16)*$E$5</f>
        <v>5</v>
      </c>
      <c r="K16" s="14">
        <f>(H16+I16)*$E$6</f>
        <v>10</v>
      </c>
      <c r="L16" s="14">
        <f>(H16+I16)*$E$7</f>
        <v>5</v>
      </c>
    </row>
    <row r="17">
      <c r="A17" s="32" t="n">
        <v>45474</v>
      </c>
      <c r="B17" s="6">
        <f>YEAR(A17)</f>
        <v>2024</v>
      </c>
      <c r="C17" s="6">
        <f>COUNTIFS('Парк NTE'!$F$5:$F$134,"&gt;="&amp;A17,'Парк NTE'!$F$5:$F$134,"&lt;="&amp;EOMONTH(A17,0))</f>
        <v>3</v>
      </c>
      <c r="D17" s="6">
        <f>COUNTIFS('Парк NTE'!$G$5:$G$134,"&gt;="&amp;A17,'Парк NTE'!$G$5:$G$134,"&lt;="&amp;EOMONTH(A17,0))</f>
        <v>0</v>
      </c>
      <c r="E17" s="33">
        <f>SUMPRODUCT(('Парк NTE'!$B$5:$B$134="Полюс Красноярск")*('Парк NTE'!$F$5:$F$134&lt;=EOMONTH(A17,0))*('Парк NTE'!$G$5:$G$134&gt;=A17))</f>
        <v>24</v>
      </c>
      <c r="F17" s="34">
        <f>SUMPRODUCT(('Парк NTE'!$B$5:$B$134="Полюс Магадан")*('Парк NTE'!$F$5:$F$134&lt;=EOMONTH(A17,0))*('Парк NTE'!$G$5:$G$134&gt;=A17))</f>
        <v>20</v>
      </c>
      <c r="G17" s="35">
        <f>E17+F17</f>
        <v>44</v>
      </c>
      <c r="H17" s="33">
        <f>ROUNDUP(E17/$E$4,0)</f>
        <v>3</v>
      </c>
      <c r="I17" s="34">
        <f>ROUNDUP(F17/$E$4,0)</f>
        <v>2</v>
      </c>
      <c r="J17" s="14">
        <f>(H17+I17)*$E$5</f>
        <v>5</v>
      </c>
      <c r="K17" s="14">
        <f>(H17+I17)*$E$6</f>
        <v>10</v>
      </c>
      <c r="L17" s="14">
        <f>(H17+I17)*$E$7</f>
        <v>5</v>
      </c>
    </row>
    <row r="18">
      <c r="A18" s="32" t="n">
        <v>45505</v>
      </c>
      <c r="B18" s="6">
        <f>YEAR(A18)</f>
        <v>2024</v>
      </c>
      <c r="C18" s="6">
        <f>COUNTIFS('Парк NTE'!$F$5:$F$134,"&gt;="&amp;A18,'Парк NTE'!$F$5:$F$134,"&lt;="&amp;EOMONTH(A18,0))</f>
        <v>4</v>
      </c>
      <c r="D18" s="6">
        <f>COUNTIFS('Парк NTE'!$G$5:$G$134,"&gt;="&amp;A18,'Парк NTE'!$G$5:$G$134,"&lt;="&amp;EOMONTH(A18,0))</f>
        <v>0</v>
      </c>
      <c r="E18" s="33">
        <f>SUMPRODUCT(('Парк NTE'!$B$5:$B$134="Полюс Красноярск")*('Парк NTE'!$F$5:$F$134&lt;=EOMONTH(A18,0))*('Парк NTE'!$G$5:$G$134&gt;=A18))</f>
        <v>28</v>
      </c>
      <c r="F18" s="34">
        <f>SUMPRODUCT(('Парк NTE'!$B$5:$B$134="Полюс Магадан")*('Парк NTE'!$F$5:$F$134&lt;=EOMONTH(A18,0))*('Парк NTE'!$G$5:$G$134&gt;=A18))</f>
        <v>20</v>
      </c>
      <c r="G18" s="35">
        <f>E18+F18</f>
        <v>48</v>
      </c>
      <c r="H18" s="33">
        <f>ROUNDUP(E18/$E$4,0)</f>
        <v>3</v>
      </c>
      <c r="I18" s="34">
        <f>ROUNDUP(F18/$E$4,0)</f>
        <v>2</v>
      </c>
      <c r="J18" s="14">
        <f>(H18+I18)*$E$5</f>
        <v>5</v>
      </c>
      <c r="K18" s="14">
        <f>(H18+I18)*$E$6</f>
        <v>10</v>
      </c>
      <c r="L18" s="14">
        <f>(H18+I18)*$E$7</f>
        <v>5</v>
      </c>
    </row>
    <row r="19">
      <c r="A19" s="32" t="n">
        <v>45536</v>
      </c>
      <c r="B19" s="6">
        <f>YEAR(A19)</f>
        <v>2024</v>
      </c>
      <c r="C19" s="6">
        <f>COUNTIFS('Парк NTE'!$F$5:$F$134,"&gt;="&amp;A19,'Парк NTE'!$F$5:$F$134,"&lt;="&amp;EOMONTH(A19,0))</f>
        <v>2</v>
      </c>
      <c r="D19" s="6">
        <f>COUNTIFS('Парк NTE'!$G$5:$G$134,"&gt;="&amp;A19,'Парк NTE'!$G$5:$G$134,"&lt;="&amp;EOMONTH(A19,0))</f>
        <v>0</v>
      </c>
      <c r="E19" s="33">
        <f>SUMPRODUCT(('Парк NTE'!$B$5:$B$134="Полюс Красноярск")*('Парк NTE'!$F$5:$F$134&lt;=EOMONTH(A19,0))*('Парк NTE'!$G$5:$G$134&gt;=A19))</f>
        <v>30</v>
      </c>
      <c r="F19" s="34">
        <f>SUMPRODUCT(('Парк NTE'!$B$5:$B$134="Полюс Магадан")*('Парк NTE'!$F$5:$F$134&lt;=EOMONTH(A19,0))*('Парк NTE'!$G$5:$G$134&gt;=A19))</f>
        <v>20</v>
      </c>
      <c r="G19" s="35">
        <f>E19+F19</f>
        <v>50</v>
      </c>
      <c r="H19" s="33">
        <f>ROUNDUP(E19/$E$4,0)</f>
        <v>3</v>
      </c>
      <c r="I19" s="34">
        <f>ROUNDUP(F19/$E$4,0)</f>
        <v>2</v>
      </c>
      <c r="J19" s="14">
        <f>(H19+I19)*$E$5</f>
        <v>5</v>
      </c>
      <c r="K19" s="14">
        <f>(H19+I19)*$E$6</f>
        <v>10</v>
      </c>
      <c r="L19" s="14">
        <f>(H19+I19)*$E$7</f>
        <v>5</v>
      </c>
    </row>
    <row r="20">
      <c r="A20" s="32" t="n">
        <v>45566</v>
      </c>
      <c r="B20" s="6">
        <f>YEAR(A20)</f>
        <v>2024</v>
      </c>
      <c r="C20" s="6">
        <f>COUNTIFS('Парк NTE'!$F$5:$F$134,"&gt;="&amp;A20,'Парк NTE'!$F$5:$F$134,"&lt;="&amp;EOMONTH(A20,0))</f>
        <v>2</v>
      </c>
      <c r="D20" s="6">
        <f>COUNTIFS('Парк NTE'!$G$5:$G$134,"&gt;="&amp;A20,'Парк NTE'!$G$5:$G$134,"&lt;="&amp;EOMONTH(A20,0))</f>
        <v>0</v>
      </c>
      <c r="E20" s="33">
        <f>SUMPRODUCT(('Парк NTE'!$B$5:$B$134="Полюс Красноярск")*('Парк NTE'!$F$5:$F$134&lt;=EOMONTH(A20,0))*('Парк NTE'!$G$5:$G$134&gt;=A20))</f>
        <v>32</v>
      </c>
      <c r="F20" s="34">
        <f>SUMPRODUCT(('Парк NTE'!$B$5:$B$134="Полюс Магадан")*('Парк NTE'!$F$5:$F$134&lt;=EOMONTH(A20,0))*('Парк NTE'!$G$5:$G$134&gt;=A20))</f>
        <v>20</v>
      </c>
      <c r="G20" s="35">
        <f>E20+F20</f>
        <v>52</v>
      </c>
      <c r="H20" s="33">
        <f>ROUNDUP(E20/$E$4,0)</f>
        <v>4</v>
      </c>
      <c r="I20" s="34">
        <f>ROUNDUP(F20/$E$4,0)</f>
        <v>2</v>
      </c>
      <c r="J20" s="14">
        <f>(H20+I20)*$E$5</f>
        <v>6</v>
      </c>
      <c r="K20" s="14">
        <f>(H20+I20)*$E$6</f>
        <v>12</v>
      </c>
      <c r="L20" s="14">
        <f>(H20+I20)*$E$7</f>
        <v>6</v>
      </c>
    </row>
    <row r="21">
      <c r="A21" s="32" t="n">
        <v>45597</v>
      </c>
      <c r="B21" s="6">
        <f>YEAR(A21)</f>
        <v>2024</v>
      </c>
      <c r="C21" s="6">
        <f>COUNTIFS('Парк NTE'!$F$5:$F$134,"&gt;="&amp;A21,'Парк NTE'!$F$5:$F$134,"&lt;="&amp;EOMONTH(A21,0))</f>
        <v>0</v>
      </c>
      <c r="D21" s="6">
        <f>COUNTIFS('Парк NTE'!$G$5:$G$134,"&gt;="&amp;A21,'Парк NTE'!$G$5:$G$134,"&lt;="&amp;EOMONTH(A21,0))</f>
        <v>0</v>
      </c>
      <c r="E21" s="33">
        <f>SUMPRODUCT(('Парк NTE'!$B$5:$B$134="Полюс Красноярск")*('Парк NTE'!$F$5:$F$134&lt;=EOMONTH(A21,0))*('Парк NTE'!$G$5:$G$134&gt;=A21))</f>
        <v>32</v>
      </c>
      <c r="F21" s="34">
        <f>SUMPRODUCT(('Парк NTE'!$B$5:$B$134="Полюс Магадан")*('Парк NTE'!$F$5:$F$134&lt;=EOMONTH(A21,0))*('Парк NTE'!$G$5:$G$134&gt;=A21))</f>
        <v>20</v>
      </c>
      <c r="G21" s="35">
        <f>E21+F21</f>
        <v>52</v>
      </c>
      <c r="H21" s="33">
        <f>ROUNDUP(E21/$E$4,0)</f>
        <v>4</v>
      </c>
      <c r="I21" s="34">
        <f>ROUNDUP(F21/$E$4,0)</f>
        <v>2</v>
      </c>
      <c r="J21" s="14">
        <f>(H21+I21)*$E$5</f>
        <v>6</v>
      </c>
      <c r="K21" s="14">
        <f>(H21+I21)*$E$6</f>
        <v>12</v>
      </c>
      <c r="L21" s="14">
        <f>(H21+I21)*$E$7</f>
        <v>6</v>
      </c>
    </row>
    <row r="22">
      <c r="A22" s="32" t="n">
        <v>45627</v>
      </c>
      <c r="B22" s="6">
        <f>YEAR(A22)</f>
        <v>2024</v>
      </c>
      <c r="C22" s="6">
        <f>COUNTIFS('Парк NTE'!$F$5:$F$134,"&gt;="&amp;A22,'Парк NTE'!$F$5:$F$134,"&lt;="&amp;EOMONTH(A22,0))</f>
        <v>6</v>
      </c>
      <c r="D22" s="6">
        <f>COUNTIFS('Парк NTE'!$G$5:$G$134,"&gt;="&amp;A22,'Парк NTE'!$G$5:$G$134,"&lt;="&amp;EOMONTH(A22,0))</f>
        <v>0</v>
      </c>
      <c r="E22" s="33">
        <f>SUMPRODUCT(('Парк NTE'!$B$5:$B$134="Полюс Красноярск")*('Парк NTE'!$F$5:$F$134&lt;=EOMONTH(A22,0))*('Парк NTE'!$G$5:$G$134&gt;=A22))</f>
        <v>36</v>
      </c>
      <c r="F22" s="34">
        <f>SUMPRODUCT(('Парк NTE'!$B$5:$B$134="Полюс Магадан")*('Парк NTE'!$F$5:$F$134&lt;=EOMONTH(A22,0))*('Парк NTE'!$G$5:$G$134&gt;=A22))</f>
        <v>22</v>
      </c>
      <c r="G22" s="35">
        <f>E22+F22</f>
        <v>58</v>
      </c>
      <c r="H22" s="33">
        <f>ROUNDUP(E22/$E$4,0)</f>
        <v>4</v>
      </c>
      <c r="I22" s="34">
        <f>ROUNDUP(F22/$E$4,0)</f>
        <v>3</v>
      </c>
      <c r="J22" s="14">
        <f>(H22+I22)*$E$5</f>
        <v>7</v>
      </c>
      <c r="K22" s="14">
        <f>(H22+I22)*$E$6</f>
        <v>14</v>
      </c>
      <c r="L22" s="14">
        <f>(H22+I22)*$E$7</f>
        <v>7</v>
      </c>
    </row>
    <row r="23">
      <c r="A23" s="32" t="n">
        <v>45658</v>
      </c>
      <c r="B23" s="6">
        <f>YEAR(A23)</f>
        <v>2025</v>
      </c>
      <c r="C23" s="6">
        <f>COUNTIFS('Парк NTE'!$F$5:$F$134,"&gt;="&amp;A23,'Парк NTE'!$F$5:$F$134,"&lt;="&amp;EOMONTH(A23,0))</f>
        <v>10</v>
      </c>
      <c r="D23" s="6">
        <f>COUNTIFS('Парк NTE'!$G$5:$G$134,"&gt;="&amp;A23,'Парк NTE'!$G$5:$G$134,"&lt;="&amp;EOMONTH(A23,0))</f>
        <v>0</v>
      </c>
      <c r="E23" s="33">
        <f>SUMPRODUCT(('Парк NTE'!$B$5:$B$134="Полюс Красноярск")*('Парк NTE'!$F$5:$F$134&lt;=EOMONTH(A23,0))*('Парк NTE'!$G$5:$G$134&gt;=A23))</f>
        <v>40</v>
      </c>
      <c r="F23" s="34">
        <f>SUMPRODUCT(('Парк NTE'!$B$5:$B$134="Полюс Магадан")*('Парк NTE'!$F$5:$F$134&lt;=EOMONTH(A23,0))*('Парк NTE'!$G$5:$G$134&gt;=A23))</f>
        <v>28</v>
      </c>
      <c r="G23" s="35">
        <f>E23+F23</f>
        <v>68</v>
      </c>
      <c r="H23" s="33">
        <f>ROUNDUP(E23/$E$4,0)</f>
        <v>4</v>
      </c>
      <c r="I23" s="34">
        <f>ROUNDUP(F23/$E$4,0)</f>
        <v>3</v>
      </c>
      <c r="J23" s="14">
        <f>(H23+I23)*$E$5</f>
        <v>7</v>
      </c>
      <c r="K23" s="14">
        <f>(H23+I23)*$E$6</f>
        <v>14</v>
      </c>
      <c r="L23" s="14">
        <f>(H23+I23)*$E$7</f>
        <v>7</v>
      </c>
    </row>
    <row r="24">
      <c r="A24" s="32" t="n">
        <v>45689</v>
      </c>
      <c r="B24" s="6">
        <f>YEAR(A24)</f>
        <v>2025</v>
      </c>
      <c r="C24" s="6">
        <f>COUNTIFS('Парк NTE'!$F$5:$F$134,"&gt;="&amp;A24,'Парк NTE'!$F$5:$F$134,"&lt;="&amp;EOMONTH(A24,0))</f>
        <v>9</v>
      </c>
      <c r="D24" s="6">
        <f>COUNTIFS('Парк NTE'!$G$5:$G$134,"&gt;="&amp;A24,'Парк NTE'!$G$5:$G$134,"&lt;="&amp;EOMONTH(A24,0))</f>
        <v>8</v>
      </c>
      <c r="E24" s="33">
        <f>SUMPRODUCT(('Парк NTE'!$B$5:$B$134="Полюс Красноярск")*('Парк NTE'!$F$5:$F$134&lt;=EOMONTH(A24,0))*('Парк NTE'!$G$5:$G$134&gt;=A24))</f>
        <v>43</v>
      </c>
      <c r="F24" s="34">
        <f>SUMPRODUCT(('Парк NTE'!$B$5:$B$134="Полюс Магадан")*('Парк NTE'!$F$5:$F$134&lt;=EOMONTH(A24,0))*('Парк NTE'!$G$5:$G$134&gt;=A24))</f>
        <v>34</v>
      </c>
      <c r="G24" s="35">
        <f>E24+F24</f>
        <v>77</v>
      </c>
      <c r="H24" s="33">
        <f>ROUNDUP(E24/$E$4,0)</f>
        <v>5</v>
      </c>
      <c r="I24" s="34">
        <f>ROUNDUP(F24/$E$4,0)</f>
        <v>4</v>
      </c>
      <c r="J24" s="14">
        <f>(H24+I24)*$E$5</f>
        <v>9</v>
      </c>
      <c r="K24" s="14">
        <f>(H24+I24)*$E$6</f>
        <v>18</v>
      </c>
      <c r="L24" s="14">
        <f>(H24+I24)*$E$7</f>
        <v>9</v>
      </c>
    </row>
    <row r="25">
      <c r="A25" s="32" t="n">
        <v>45717</v>
      </c>
      <c r="B25" s="6">
        <f>YEAR(A25)</f>
        <v>2025</v>
      </c>
      <c r="C25" s="6">
        <f>COUNTIFS('Парк NTE'!$F$5:$F$134,"&gt;="&amp;A25,'Парк NTE'!$F$5:$F$134,"&lt;="&amp;EOMONTH(A25,0))</f>
        <v>6</v>
      </c>
      <c r="D25" s="6">
        <f>COUNTIFS('Парк NTE'!$G$5:$G$134,"&gt;="&amp;A25,'Парк NTE'!$G$5:$G$134,"&lt;="&amp;EOMONTH(A25,0))</f>
        <v>11</v>
      </c>
      <c r="E25" s="33">
        <f>SUMPRODUCT(('Парк NTE'!$B$5:$B$134="Полюс Красноярск")*('Парк NTE'!$F$5:$F$134&lt;=EOMONTH(A25,0))*('Парк NTE'!$G$5:$G$134&gt;=A25))</f>
        <v>45</v>
      </c>
      <c r="F25" s="34">
        <f>SUMPRODUCT(('Парк NTE'!$B$5:$B$134="Полюс Магадан")*('Парк NTE'!$F$5:$F$134&lt;=EOMONTH(A25,0))*('Парк NTE'!$G$5:$G$134&gt;=A25))</f>
        <v>30</v>
      </c>
      <c r="G25" s="35">
        <f>E25+F25</f>
        <v>75</v>
      </c>
      <c r="H25" s="33">
        <f>ROUNDUP(E25/$E$4,0)</f>
        <v>5</v>
      </c>
      <c r="I25" s="34">
        <f>ROUNDUP(F25/$E$4,0)</f>
        <v>3</v>
      </c>
      <c r="J25" s="14">
        <f>(H25+I25)*$E$5</f>
        <v>8</v>
      </c>
      <c r="K25" s="14">
        <f>(H25+I25)*$E$6</f>
        <v>16</v>
      </c>
      <c r="L25" s="14">
        <f>(H25+I25)*$E$7</f>
        <v>8</v>
      </c>
    </row>
    <row r="26">
      <c r="A26" s="32" t="n">
        <v>45748</v>
      </c>
      <c r="B26" s="6">
        <f>YEAR(A26)</f>
        <v>2025</v>
      </c>
      <c r="C26" s="6">
        <f>COUNTIFS('Парк NTE'!$F$5:$F$134,"&gt;="&amp;A26,'Парк NTE'!$F$5:$F$134,"&lt;="&amp;EOMONTH(A26,0))</f>
        <v>2</v>
      </c>
      <c r="D26" s="6">
        <f>COUNTIFS('Парк NTE'!$G$5:$G$134,"&gt;="&amp;A26,'Парк NTE'!$G$5:$G$134,"&lt;="&amp;EOMONTH(A26,0))</f>
        <v>9</v>
      </c>
      <c r="E26" s="33">
        <f>SUMPRODUCT(('Парк NTE'!$B$5:$B$134="Полюс Красноярск")*('Парк NTE'!$F$5:$F$134&lt;=EOMONTH(A26,0))*('Парк NTE'!$G$5:$G$134&gt;=A26))</f>
        <v>41</v>
      </c>
      <c r="F26" s="34">
        <f>SUMPRODUCT(('Парк NTE'!$B$5:$B$134="Полюс Магадан")*('Парк NTE'!$F$5:$F$134&lt;=EOMONTH(A26,0))*('Парк NTE'!$G$5:$G$134&gt;=A26))</f>
        <v>25</v>
      </c>
      <c r="G26" s="35">
        <f>E26+F26</f>
        <v>66</v>
      </c>
      <c r="H26" s="33">
        <f>ROUNDUP(E26/$E$4,0)</f>
        <v>5</v>
      </c>
      <c r="I26" s="34">
        <f>ROUNDUP(F26/$E$4,0)</f>
        <v>3</v>
      </c>
      <c r="J26" s="14">
        <f>(H26+I26)*$E$5</f>
        <v>8</v>
      </c>
      <c r="K26" s="14">
        <f>(H26+I26)*$E$6</f>
        <v>16</v>
      </c>
      <c r="L26" s="14">
        <f>(H26+I26)*$E$7</f>
        <v>8</v>
      </c>
    </row>
    <row r="27">
      <c r="A27" s="32" t="n">
        <v>45778</v>
      </c>
      <c r="B27" s="6">
        <f>YEAR(A27)</f>
        <v>2025</v>
      </c>
      <c r="C27" s="6">
        <f>COUNTIFS('Парк NTE'!$F$5:$F$134,"&gt;="&amp;A27,'Парк NTE'!$F$5:$F$134,"&lt;="&amp;EOMONTH(A27,0))</f>
        <v>4</v>
      </c>
      <c r="D27" s="6">
        <f>COUNTIFS('Парк NTE'!$G$5:$G$134,"&gt;="&amp;A27,'Парк NTE'!$G$5:$G$134,"&lt;="&amp;EOMONTH(A27,0))</f>
        <v>8</v>
      </c>
      <c r="E27" s="33">
        <f>SUMPRODUCT(('Парк NTE'!$B$5:$B$134="Полюс Красноярск")*('Парк NTE'!$F$5:$F$134&lt;=EOMONTH(A27,0))*('Парк NTE'!$G$5:$G$134&gt;=A27))</f>
        <v>41</v>
      </c>
      <c r="F27" s="34">
        <f>SUMPRODUCT(('Парк NTE'!$B$5:$B$134="Полюс Магадан")*('Парк NTE'!$F$5:$F$134&lt;=EOMONTH(A27,0))*('Парк NTE'!$G$5:$G$134&gt;=A27))</f>
        <v>20</v>
      </c>
      <c r="G27" s="35">
        <f>E27+F27</f>
        <v>61</v>
      </c>
      <c r="H27" s="33">
        <f>ROUNDUP(E27/$E$4,0)</f>
        <v>5</v>
      </c>
      <c r="I27" s="34">
        <f>ROUNDUP(F27/$E$4,0)</f>
        <v>2</v>
      </c>
      <c r="J27" s="14">
        <f>(H27+I27)*$E$5</f>
        <v>7</v>
      </c>
      <c r="K27" s="14">
        <f>(H27+I27)*$E$6</f>
        <v>14</v>
      </c>
      <c r="L27" s="14">
        <f>(H27+I27)*$E$7</f>
        <v>7</v>
      </c>
    </row>
    <row r="28">
      <c r="A28" s="32" t="n">
        <v>45809</v>
      </c>
      <c r="B28" s="6">
        <f>YEAR(A28)</f>
        <v>2025</v>
      </c>
      <c r="C28" s="6">
        <f>COUNTIFS('Парк NTE'!$F$5:$F$134,"&gt;="&amp;A28,'Парк NTE'!$F$5:$F$134,"&lt;="&amp;EOMONTH(A28,0))</f>
        <v>4</v>
      </c>
      <c r="D28" s="6">
        <f>COUNTIFS('Парк NTE'!$G$5:$G$134,"&gt;="&amp;A28,'Парк NTE'!$G$5:$G$134,"&lt;="&amp;EOMONTH(A28,0))</f>
        <v>6</v>
      </c>
      <c r="E28" s="33">
        <f>SUMPRODUCT(('Парк NTE'!$B$5:$B$134="Полюс Красноярск")*('Парк NTE'!$F$5:$F$134&lt;=EOMONTH(A28,0))*('Парк NTE'!$G$5:$G$134&gt;=A28))</f>
        <v>40</v>
      </c>
      <c r="F28" s="34">
        <f>SUMPRODUCT(('Парк NTE'!$B$5:$B$134="Полюс Магадан")*('Парк NTE'!$F$5:$F$134&lt;=EOMONTH(A28,0))*('Парк NTE'!$G$5:$G$134&gt;=A28))</f>
        <v>17</v>
      </c>
      <c r="G28" s="35">
        <f>E28+F28</f>
        <v>57</v>
      </c>
      <c r="H28" s="33">
        <f>ROUNDUP(E28/$E$4,0)</f>
        <v>4</v>
      </c>
      <c r="I28" s="34">
        <f>ROUNDUP(F28/$E$4,0)</f>
        <v>2</v>
      </c>
      <c r="J28" s="14">
        <f>(H28+I28)*$E$5</f>
        <v>6</v>
      </c>
      <c r="K28" s="14">
        <f>(H28+I28)*$E$6</f>
        <v>12</v>
      </c>
      <c r="L28" s="14">
        <f>(H28+I28)*$E$7</f>
        <v>6</v>
      </c>
    </row>
    <row r="29">
      <c r="A29" s="32" t="n">
        <v>45839</v>
      </c>
      <c r="B29" s="6">
        <f>YEAR(A29)</f>
        <v>2025</v>
      </c>
      <c r="C29" s="6">
        <f>COUNTIFS('Парк NTE'!$F$5:$F$134,"&gt;="&amp;A29,'Парк NTE'!$F$5:$F$134,"&lt;="&amp;EOMONTH(A29,0))</f>
        <v>4</v>
      </c>
      <c r="D29" s="6">
        <f>COUNTIFS('Парк NTE'!$G$5:$G$134,"&gt;="&amp;A29,'Парк NTE'!$G$5:$G$134,"&lt;="&amp;EOMONTH(A29,0))</f>
        <v>2</v>
      </c>
      <c r="E29" s="33">
        <f>SUMPRODUCT(('Парк NTE'!$B$5:$B$134="Полюс Красноярск")*('Парк NTE'!$F$5:$F$134&lt;=EOMONTH(A29,0))*('Парк NTE'!$G$5:$G$134&gt;=A29))</f>
        <v>39</v>
      </c>
      <c r="F29" s="34">
        <f>SUMPRODUCT(('Парк NTE'!$B$5:$B$134="Полюс Магадан")*('Парк NTE'!$F$5:$F$134&lt;=EOMONTH(A29,0))*('Парк NTE'!$G$5:$G$134&gt;=A29))</f>
        <v>16</v>
      </c>
      <c r="G29" s="35">
        <f>E29+F29</f>
        <v>55</v>
      </c>
      <c r="H29" s="33">
        <f>ROUNDUP(E29/$E$4,0)</f>
        <v>4</v>
      </c>
      <c r="I29" s="34">
        <f>ROUNDUP(F29/$E$4,0)</f>
        <v>2</v>
      </c>
      <c r="J29" s="14">
        <f>(H29+I29)*$E$5</f>
        <v>6</v>
      </c>
      <c r="K29" s="14">
        <f>(H29+I29)*$E$6</f>
        <v>12</v>
      </c>
      <c r="L29" s="14">
        <f>(H29+I29)*$E$7</f>
        <v>6</v>
      </c>
    </row>
    <row r="30">
      <c r="A30" s="32" t="n">
        <v>45870</v>
      </c>
      <c r="B30" s="6">
        <f>YEAR(A30)</f>
        <v>2025</v>
      </c>
      <c r="C30" s="6">
        <f>COUNTIFS('Парк NTE'!$F$5:$F$134,"&gt;="&amp;A30,'Парк NTE'!$F$5:$F$134,"&lt;="&amp;EOMONTH(A30,0))</f>
        <v>5</v>
      </c>
      <c r="D30" s="6">
        <f>COUNTIFS('Парк NTE'!$G$5:$G$134,"&gt;="&amp;A30,'Парк NTE'!$G$5:$G$134,"&lt;="&amp;EOMONTH(A30,0))</f>
        <v>4</v>
      </c>
      <c r="E30" s="33">
        <f>SUMPRODUCT(('Парк NTE'!$B$5:$B$134="Полюс Красноярск")*('Парк NTE'!$F$5:$F$134&lt;=EOMONTH(A30,0))*('Парк NTE'!$G$5:$G$134&gt;=A30))</f>
        <v>42</v>
      </c>
      <c r="F30" s="34">
        <f>SUMPRODUCT(('Парк NTE'!$B$5:$B$134="Полюс Магадан")*('Парк NTE'!$F$5:$F$134&lt;=EOMONTH(A30,0))*('Парк NTE'!$G$5:$G$134&gt;=A30))</f>
        <v>16</v>
      </c>
      <c r="G30" s="35">
        <f>E30+F30</f>
        <v>58</v>
      </c>
      <c r="H30" s="33">
        <f>ROUNDUP(E30/$E$4,0)</f>
        <v>5</v>
      </c>
      <c r="I30" s="34">
        <f>ROUNDUP(F30/$E$4,0)</f>
        <v>2</v>
      </c>
      <c r="J30" s="14">
        <f>(H30+I30)*$E$5</f>
        <v>7</v>
      </c>
      <c r="K30" s="14">
        <f>(H30+I30)*$E$6</f>
        <v>14</v>
      </c>
      <c r="L30" s="14">
        <f>(H30+I30)*$E$7</f>
        <v>7</v>
      </c>
    </row>
    <row r="31">
      <c r="A31" s="32" t="n">
        <v>45901</v>
      </c>
      <c r="B31" s="6">
        <f>YEAR(A31)</f>
        <v>2025</v>
      </c>
      <c r="C31" s="6">
        <f>COUNTIFS('Парк NTE'!$F$5:$F$134,"&gt;="&amp;A31,'Парк NTE'!$F$5:$F$134,"&lt;="&amp;EOMONTH(A31,0))</f>
        <v>4</v>
      </c>
      <c r="D31" s="6">
        <f>COUNTIFS('Парк NTE'!$G$5:$G$134,"&gt;="&amp;A31,'Парк NTE'!$G$5:$G$134,"&lt;="&amp;EOMONTH(A31,0))</f>
        <v>2</v>
      </c>
      <c r="E31" s="33">
        <f>SUMPRODUCT(('Парк NTE'!$B$5:$B$134="Полюс Красноярск")*('Парк NTE'!$F$5:$F$134&lt;=EOMONTH(A31,0))*('Парк NTE'!$G$5:$G$134&gt;=A31))</f>
        <v>42</v>
      </c>
      <c r="F31" s="34">
        <f>SUMPRODUCT(('Парк NTE'!$B$5:$B$134="Полюс Магадан")*('Парк NTE'!$F$5:$F$134&lt;=EOMONTH(A31,0))*('Парк NTE'!$G$5:$G$134&gt;=A31))</f>
        <v>16</v>
      </c>
      <c r="G31" s="35">
        <f>E31+F31</f>
        <v>58</v>
      </c>
      <c r="H31" s="33">
        <f>ROUNDUP(E31/$E$4,0)</f>
        <v>5</v>
      </c>
      <c r="I31" s="34">
        <f>ROUNDUP(F31/$E$4,0)</f>
        <v>2</v>
      </c>
      <c r="J31" s="14">
        <f>(H31+I31)*$E$5</f>
        <v>7</v>
      </c>
      <c r="K31" s="14">
        <f>(H31+I31)*$E$6</f>
        <v>14</v>
      </c>
      <c r="L31" s="14">
        <f>(H31+I31)*$E$7</f>
        <v>7</v>
      </c>
    </row>
    <row r="32">
      <c r="A32" s="32" t="n">
        <v>45931</v>
      </c>
      <c r="B32" s="6">
        <f>YEAR(A32)</f>
        <v>2025</v>
      </c>
      <c r="C32" s="6">
        <f>COUNTIFS('Парк NTE'!$F$5:$F$134,"&gt;="&amp;A32,'Парк NTE'!$F$5:$F$134,"&lt;="&amp;EOMONTH(A32,0))</f>
        <v>6</v>
      </c>
      <c r="D32" s="6">
        <f>COUNTIFS('Парк NTE'!$G$5:$G$134,"&gt;="&amp;A32,'Парк NTE'!$G$5:$G$134,"&lt;="&amp;EOMONTH(A32,0))</f>
        <v>2</v>
      </c>
      <c r="E32" s="33">
        <f>SUMPRODUCT(('Парк NTE'!$B$5:$B$134="Полюс Красноярск")*('Парк NTE'!$F$5:$F$134&lt;=EOMONTH(A32,0))*('Парк NTE'!$G$5:$G$134&gt;=A32))</f>
        <v>45</v>
      </c>
      <c r="F32" s="34">
        <f>SUMPRODUCT(('Парк NTE'!$B$5:$B$134="Полюс Магадан")*('Парк NTE'!$F$5:$F$134&lt;=EOMONTH(A32,0))*('Парк NTE'!$G$5:$G$134&gt;=A32))</f>
        <v>17</v>
      </c>
      <c r="G32" s="35">
        <f>E32+F32</f>
        <v>62</v>
      </c>
      <c r="H32" s="33">
        <f>ROUNDUP(E32/$E$4,0)</f>
        <v>5</v>
      </c>
      <c r="I32" s="34">
        <f>ROUNDUP(F32/$E$4,0)</f>
        <v>2</v>
      </c>
      <c r="J32" s="14">
        <f>(H32+I32)*$E$5</f>
        <v>7</v>
      </c>
      <c r="K32" s="14">
        <f>(H32+I32)*$E$6</f>
        <v>14</v>
      </c>
      <c r="L32" s="14">
        <f>(H32+I32)*$E$7</f>
        <v>7</v>
      </c>
    </row>
    <row r="33">
      <c r="A33" s="32" t="n">
        <v>45962</v>
      </c>
      <c r="B33" s="6">
        <f>YEAR(A33)</f>
        <v>2025</v>
      </c>
      <c r="C33" s="6">
        <f>COUNTIFS('Парк NTE'!$F$5:$F$134,"&gt;="&amp;A33,'Парк NTE'!$F$5:$F$134,"&lt;="&amp;EOMONTH(A33,0))</f>
        <v>4</v>
      </c>
      <c r="D33" s="6">
        <f>COUNTIFS('Парк NTE'!$G$5:$G$134,"&gt;="&amp;A33,'Парк NTE'!$G$5:$G$134,"&lt;="&amp;EOMONTH(A33,0))</f>
        <v>1</v>
      </c>
      <c r="E33" s="33">
        <f>SUMPRODUCT(('Парк NTE'!$B$5:$B$134="Полюс Красноярск")*('Парк NTE'!$F$5:$F$134&lt;=EOMONTH(A33,0))*('Парк NTE'!$G$5:$G$134&gt;=A33))</f>
        <v>43</v>
      </c>
      <c r="F33" s="34">
        <f>SUMPRODUCT(('Парк NTE'!$B$5:$B$134="Полюс Магадан")*('Парк NTE'!$F$5:$F$134&lt;=EOMONTH(A33,0))*('Парк NTE'!$G$5:$G$134&gt;=A33))</f>
        <v>21</v>
      </c>
      <c r="G33" s="35">
        <f>E33+F33</f>
        <v>64</v>
      </c>
      <c r="H33" s="33">
        <f>ROUNDUP(E33/$E$4,0)</f>
        <v>5</v>
      </c>
      <c r="I33" s="34">
        <f>ROUNDUP(F33/$E$4,0)</f>
        <v>3</v>
      </c>
      <c r="J33" s="14">
        <f>(H33+I33)*$E$5</f>
        <v>8</v>
      </c>
      <c r="K33" s="14">
        <f>(H33+I33)*$E$6</f>
        <v>16</v>
      </c>
      <c r="L33" s="14">
        <f>(H33+I33)*$E$7</f>
        <v>8</v>
      </c>
    </row>
    <row r="34">
      <c r="A34" s="32" t="n">
        <v>45992</v>
      </c>
      <c r="B34" s="6">
        <f>YEAR(A34)</f>
        <v>2025</v>
      </c>
      <c r="C34" s="6">
        <f>COUNTIFS('Парк NTE'!$F$5:$F$134,"&gt;="&amp;A34,'Парк NTE'!$F$5:$F$134,"&lt;="&amp;EOMONTH(A34,0))</f>
        <v>6</v>
      </c>
      <c r="D34" s="6">
        <f>COUNTIFS('Парк NTE'!$G$5:$G$134,"&gt;="&amp;A34,'Парк NTE'!$G$5:$G$134,"&lt;="&amp;EOMONTH(A34,0))</f>
        <v>5</v>
      </c>
      <c r="E34" s="33">
        <f>SUMPRODUCT(('Парк NTE'!$B$5:$B$134="Полюс Красноярск")*('Парк NTE'!$F$5:$F$134&lt;=EOMONTH(A34,0))*('Парк NTE'!$G$5:$G$134&gt;=A34))</f>
        <v>42</v>
      </c>
      <c r="F34" s="34">
        <f>SUMPRODUCT(('Парк NTE'!$B$5:$B$134="Полюс Магадан")*('Парк NTE'!$F$5:$F$134&lt;=EOMONTH(A34,0))*('Парк NTE'!$G$5:$G$134&gt;=A34))</f>
        <v>27</v>
      </c>
      <c r="G34" s="35">
        <f>E34+F34</f>
        <v>69</v>
      </c>
      <c r="H34" s="33">
        <f>ROUNDUP(E34/$E$4,0)</f>
        <v>5</v>
      </c>
      <c r="I34" s="34">
        <f>ROUNDUP(F34/$E$4,0)</f>
        <v>3</v>
      </c>
      <c r="J34" s="14">
        <f>(H34+I34)*$E$5</f>
        <v>8</v>
      </c>
      <c r="K34" s="14">
        <f>(H34+I34)*$E$6</f>
        <v>16</v>
      </c>
      <c r="L34" s="14">
        <f>(H34+I34)*$E$7</f>
        <v>8</v>
      </c>
    </row>
    <row r="35">
      <c r="A35" s="32" t="n">
        <v>46023</v>
      </c>
      <c r="B35" s="6">
        <f>YEAR(A35)</f>
        <v>2026</v>
      </c>
      <c r="C35" s="6">
        <f>COUNTIFS('Парк NTE'!$F$5:$F$134,"&gt;="&amp;A35,'Парк NTE'!$F$5:$F$134,"&lt;="&amp;EOMONTH(A35,0))</f>
        <v>0</v>
      </c>
      <c r="D35" s="6">
        <f>COUNTIFS('Парк NTE'!$G$5:$G$134,"&gt;="&amp;A35,'Парк NTE'!$G$5:$G$134,"&lt;="&amp;EOMONTH(A35,0))</f>
        <v>10</v>
      </c>
      <c r="E35" s="33">
        <f>SUMPRODUCT(('Парк NTE'!$B$5:$B$134="Полюс Красноярск")*('Парк NTE'!$F$5:$F$134&lt;=EOMONTH(A35,0))*('Парк NTE'!$G$5:$G$134&gt;=A35))</f>
        <v>39</v>
      </c>
      <c r="F35" s="34">
        <f>SUMPRODUCT(('Парк NTE'!$B$5:$B$134="Полюс Магадан")*('Парк NTE'!$F$5:$F$134&lt;=EOMONTH(A35,0))*('Парк NTE'!$G$5:$G$134&gt;=A35))</f>
        <v>25</v>
      </c>
      <c r="G35" s="35">
        <f>E35+F35</f>
        <v>64</v>
      </c>
      <c r="H35" s="33">
        <f>ROUNDUP(E35/$E$4,0)</f>
        <v>4</v>
      </c>
      <c r="I35" s="34">
        <f>ROUNDUP(F35/$E$4,0)</f>
        <v>3</v>
      </c>
      <c r="J35" s="14">
        <f>(H35+I35)*$E$5</f>
        <v>7</v>
      </c>
      <c r="K35" s="14">
        <f>(H35+I35)*$E$6</f>
        <v>14</v>
      </c>
      <c r="L35" s="14">
        <f>(H35+I35)*$E$7</f>
        <v>7</v>
      </c>
    </row>
    <row r="36">
      <c r="A36" s="32" t="n">
        <v>46054</v>
      </c>
      <c r="B36" s="6">
        <f>YEAR(A36)</f>
        <v>2026</v>
      </c>
      <c r="C36" s="6">
        <f>COUNTIFS('Парк NTE'!$F$5:$F$134,"&gt;="&amp;A36,'Парк NTE'!$F$5:$F$134,"&lt;="&amp;EOMONTH(A36,0))</f>
        <v>2</v>
      </c>
      <c r="D36" s="6">
        <f>COUNTIFS('Парк NTE'!$G$5:$G$134,"&gt;="&amp;A36,'Парк NTE'!$G$5:$G$134,"&lt;="&amp;EOMONTH(A36,0))</f>
        <v>11</v>
      </c>
      <c r="E36" s="33">
        <f>SUMPRODUCT(('Парк NTE'!$B$5:$B$134="Полюс Красноярск")*('Парк NTE'!$F$5:$F$134&lt;=EOMONTH(A36,0))*('Парк NTE'!$G$5:$G$134&gt;=A36))</f>
        <v>37</v>
      </c>
      <c r="F36" s="34">
        <f>SUMPRODUCT(('Парк NTE'!$B$5:$B$134="Полюс Магадан")*('Парк NTE'!$F$5:$F$134&lt;=EOMONTH(A36,0))*('Парк NTE'!$G$5:$G$134&gt;=A36))</f>
        <v>19</v>
      </c>
      <c r="G36" s="35">
        <f>E36+F36</f>
        <v>56</v>
      </c>
      <c r="H36" s="33">
        <f>ROUNDUP(E36/$E$4,0)</f>
        <v>4</v>
      </c>
      <c r="I36" s="34">
        <f>ROUNDUP(F36/$E$4,0)</f>
        <v>2</v>
      </c>
      <c r="J36" s="14">
        <f>(H36+I36)*$E$5</f>
        <v>6</v>
      </c>
      <c r="K36" s="14">
        <f>(H36+I36)*$E$6</f>
        <v>12</v>
      </c>
      <c r="L36" s="14">
        <f>(H36+I36)*$E$7</f>
        <v>6</v>
      </c>
    </row>
    <row r="37">
      <c r="A37" s="32" t="n">
        <v>46082</v>
      </c>
      <c r="B37" s="6">
        <f>YEAR(A37)</f>
        <v>2026</v>
      </c>
      <c r="C37" s="6">
        <f>COUNTIFS('Парк NTE'!$F$5:$F$134,"&gt;="&amp;A37,'Парк NTE'!$F$5:$F$134,"&lt;="&amp;EOMONTH(A37,0))</f>
        <v>4</v>
      </c>
      <c r="D37" s="6">
        <f>COUNTIFS('Парк NTE'!$G$5:$G$134,"&gt;="&amp;A37,'Парк NTE'!$G$5:$G$134,"&lt;="&amp;EOMONTH(A37,0))</f>
        <v>4</v>
      </c>
      <c r="E37" s="33">
        <f>SUMPRODUCT(('Парк NTE'!$B$5:$B$134="Полюс Красноярск")*('Парк NTE'!$F$5:$F$134&lt;=EOMONTH(A37,0))*('Парк NTE'!$G$5:$G$134&gt;=A37))</f>
        <v>36</v>
      </c>
      <c r="F37" s="34">
        <f>SUMPRODUCT(('Парк NTE'!$B$5:$B$134="Полюс Магадан")*('Парк NTE'!$F$5:$F$134&lt;=EOMONTH(A37,0))*('Парк NTE'!$G$5:$G$134&gt;=A37))</f>
        <v>13</v>
      </c>
      <c r="G37" s="35">
        <f>E37+F37</f>
        <v>49</v>
      </c>
      <c r="H37" s="33">
        <f>ROUNDUP(E37/$E$4,0)</f>
        <v>4</v>
      </c>
      <c r="I37" s="34">
        <f>ROUNDUP(F37/$E$4,0)</f>
        <v>2</v>
      </c>
      <c r="J37" s="14">
        <f>(H37+I37)*$E$5</f>
        <v>6</v>
      </c>
      <c r="K37" s="14">
        <f>(H37+I37)*$E$6</f>
        <v>12</v>
      </c>
      <c r="L37" s="14">
        <f>(H37+I37)*$E$7</f>
        <v>6</v>
      </c>
    </row>
    <row r="38">
      <c r="A38" s="32" t="n">
        <v>46113</v>
      </c>
      <c r="B38" s="6">
        <f>YEAR(A38)</f>
        <v>2026</v>
      </c>
      <c r="C38" s="6">
        <f>COUNTIFS('Парк NTE'!$F$5:$F$134,"&gt;="&amp;A38,'Парк NTE'!$F$5:$F$134,"&lt;="&amp;EOMONTH(A38,0))</f>
        <v>2</v>
      </c>
      <c r="D38" s="6">
        <f>COUNTIFS('Парк NTE'!$G$5:$G$134,"&gt;="&amp;A38,'Парк NTE'!$G$5:$G$134,"&lt;="&amp;EOMONTH(A38,0))</f>
        <v>2</v>
      </c>
      <c r="E38" s="33">
        <f>SUMPRODUCT(('Парк NTE'!$B$5:$B$134="Полюс Красноярск")*('Парк NTE'!$F$5:$F$134&lt;=EOMONTH(A38,0))*('Парк NTE'!$G$5:$G$134&gt;=A38))</f>
        <v>36</v>
      </c>
      <c r="F38" s="34">
        <f>SUMPRODUCT(('Парк NTE'!$B$5:$B$134="Полюс Магадан")*('Парк NTE'!$F$5:$F$134&lt;=EOMONTH(A38,0))*('Парк NTE'!$G$5:$G$134&gt;=A38))</f>
        <v>11</v>
      </c>
      <c r="G38" s="35">
        <f>E38+F38</f>
        <v>47</v>
      </c>
      <c r="H38" s="33">
        <f>ROUNDUP(E38/$E$4,0)</f>
        <v>4</v>
      </c>
      <c r="I38" s="34">
        <f>ROUNDUP(F38/$E$4,0)</f>
        <v>2</v>
      </c>
      <c r="J38" s="14">
        <f>(H38+I38)*$E$5</f>
        <v>6</v>
      </c>
      <c r="K38" s="14">
        <f>(H38+I38)*$E$6</f>
        <v>12</v>
      </c>
      <c r="L38" s="14">
        <f>(H38+I38)*$E$7</f>
        <v>6</v>
      </c>
    </row>
    <row r="39">
      <c r="A39" s="32" t="n">
        <v>46143</v>
      </c>
      <c r="B39" s="6">
        <f>YEAR(A39)</f>
        <v>2026</v>
      </c>
      <c r="C39" s="6">
        <f>COUNTIFS('Парк NTE'!$F$5:$F$134,"&gt;="&amp;A39,'Парк NTE'!$F$5:$F$134,"&lt;="&amp;EOMONTH(A39,0))</f>
        <v>0</v>
      </c>
      <c r="D39" s="6">
        <f>COUNTIFS('Парк NTE'!$G$5:$G$134,"&gt;="&amp;A39,'Парк NTE'!$G$5:$G$134,"&lt;="&amp;EOMONTH(A39,0))</f>
        <v>4</v>
      </c>
      <c r="E39" s="33">
        <f>SUMPRODUCT(('Парк NTE'!$B$5:$B$134="Полюс Красноярск")*('Парк NTE'!$F$5:$F$134&lt;=EOMONTH(A39,0))*('Парк NTE'!$G$5:$G$134&gt;=A39))</f>
        <v>34</v>
      </c>
      <c r="F39" s="34">
        <f>SUMPRODUCT(('Парк NTE'!$B$5:$B$134="Полюс Магадан")*('Парк NTE'!$F$5:$F$134&lt;=EOMONTH(A39,0))*('Парк NTE'!$G$5:$G$134&gt;=A39))</f>
        <v>11</v>
      </c>
      <c r="G39" s="35">
        <f>E39+F39</f>
        <v>45</v>
      </c>
      <c r="H39" s="33">
        <f>ROUNDUP(E39/$E$4,0)</f>
        <v>4</v>
      </c>
      <c r="I39" s="34">
        <f>ROUNDUP(F39/$E$4,0)</f>
        <v>2</v>
      </c>
      <c r="J39" s="14">
        <f>(H39+I39)*$E$5</f>
        <v>6</v>
      </c>
      <c r="K39" s="14">
        <f>(H39+I39)*$E$6</f>
        <v>12</v>
      </c>
      <c r="L39" s="14">
        <f>(H39+I39)*$E$7</f>
        <v>6</v>
      </c>
    </row>
    <row r="40">
      <c r="A40" s="32" t="n">
        <v>46174</v>
      </c>
      <c r="B40" s="6">
        <f>YEAR(A40)</f>
        <v>2026</v>
      </c>
      <c r="C40" s="6">
        <f>COUNTIFS('Парк NTE'!$F$5:$F$134,"&gt;="&amp;A40,'Парк NTE'!$F$5:$F$134,"&lt;="&amp;EOMONTH(A40,0))</f>
        <v>0</v>
      </c>
      <c r="D40" s="6">
        <f>COUNTIFS('Парк NTE'!$G$5:$G$134,"&gt;="&amp;A40,'Парк NTE'!$G$5:$G$134,"&lt;="&amp;EOMONTH(A40,0))</f>
        <v>4</v>
      </c>
      <c r="E40" s="33">
        <f>SUMPRODUCT(('Парк NTE'!$B$5:$B$134="Полюс Красноярск")*('Парк NTE'!$F$5:$F$134&lt;=EOMONTH(A40,0))*('Парк NTE'!$G$5:$G$134&gt;=A40))</f>
        <v>30</v>
      </c>
      <c r="F40" s="34">
        <f>SUMPRODUCT(('Парк NTE'!$B$5:$B$134="Полюс Магадан")*('Парк NTE'!$F$5:$F$134&lt;=EOMONTH(A40,0))*('Парк NTE'!$G$5:$G$134&gt;=A40))</f>
        <v>11</v>
      </c>
      <c r="G40" s="35">
        <f>E40+F40</f>
        <v>41</v>
      </c>
      <c r="H40" s="33">
        <f>ROUNDUP(E40/$E$4,0)</f>
        <v>3</v>
      </c>
      <c r="I40" s="34">
        <f>ROUNDUP(F40/$E$4,0)</f>
        <v>2</v>
      </c>
      <c r="J40" s="14">
        <f>(H40+I40)*$E$5</f>
        <v>5</v>
      </c>
      <c r="K40" s="14">
        <f>(H40+I40)*$E$6</f>
        <v>10</v>
      </c>
      <c r="L40" s="14">
        <f>(H40+I40)*$E$7</f>
        <v>5</v>
      </c>
    </row>
    <row r="41">
      <c r="A41" s="32" t="n">
        <v>46204</v>
      </c>
      <c r="B41" s="6">
        <f>YEAR(A41)</f>
        <v>2026</v>
      </c>
      <c r="C41" s="6">
        <f>COUNTIFS('Парк NTE'!$F$5:$F$134,"&gt;="&amp;A41,'Парк NTE'!$F$5:$F$134,"&lt;="&amp;EOMONTH(A41,0))</f>
        <v>0</v>
      </c>
      <c r="D41" s="6">
        <f>COUNTIFS('Парк NTE'!$G$5:$G$134,"&gt;="&amp;A41,'Парк NTE'!$G$5:$G$134,"&lt;="&amp;EOMONTH(A41,0))</f>
        <v>4</v>
      </c>
      <c r="E41" s="33">
        <f>SUMPRODUCT(('Парк NTE'!$B$5:$B$134="Полюс Красноярск")*('Парк NTE'!$F$5:$F$134&lt;=EOMONTH(A41,0))*('Парк NTE'!$G$5:$G$134&gt;=A41))</f>
        <v>26</v>
      </c>
      <c r="F41" s="34">
        <f>SUMPRODUCT(('Парк NTE'!$B$5:$B$134="Полюс Магадан")*('Парк NTE'!$F$5:$F$134&lt;=EOMONTH(A41,0))*('Парк NTE'!$G$5:$G$134&gt;=A41))</f>
        <v>11</v>
      </c>
      <c r="G41" s="35">
        <f>E41+F41</f>
        <v>37</v>
      </c>
      <c r="H41" s="33">
        <f>ROUNDUP(E41/$E$4,0)</f>
        <v>3</v>
      </c>
      <c r="I41" s="34">
        <f>ROUNDUP(F41/$E$4,0)</f>
        <v>2</v>
      </c>
      <c r="J41" s="14">
        <f>(H41+I41)*$E$5</f>
        <v>5</v>
      </c>
      <c r="K41" s="14">
        <f>(H41+I41)*$E$6</f>
        <v>10</v>
      </c>
      <c r="L41" s="14">
        <f>(H41+I41)*$E$7</f>
        <v>5</v>
      </c>
    </row>
    <row r="42">
      <c r="A42" s="32" t="n">
        <v>46235</v>
      </c>
      <c r="B42" s="6">
        <f>YEAR(A42)</f>
        <v>2026</v>
      </c>
      <c r="C42" s="6">
        <f>COUNTIFS('Парк NTE'!$F$5:$F$134,"&gt;="&amp;A42,'Парк NTE'!$F$5:$F$134,"&lt;="&amp;EOMONTH(A42,0))</f>
        <v>0</v>
      </c>
      <c r="D42" s="6">
        <f>COUNTIFS('Парк NTE'!$G$5:$G$134,"&gt;="&amp;A42,'Парк NTE'!$G$5:$G$134,"&lt;="&amp;EOMONTH(A42,0))</f>
        <v>5</v>
      </c>
      <c r="E42" s="33">
        <f>SUMPRODUCT(('Парк NTE'!$B$5:$B$134="Полюс Красноярск")*('Парк NTE'!$F$5:$F$134&lt;=EOMONTH(A42,0))*('Парк NTE'!$G$5:$G$134&gt;=A42))</f>
        <v>22</v>
      </c>
      <c r="F42" s="34">
        <f>SUMPRODUCT(('Парк NTE'!$B$5:$B$134="Полюс Магадан")*('Парк NTE'!$F$5:$F$134&lt;=EOMONTH(A42,0))*('Парк NTE'!$G$5:$G$134&gt;=A42))</f>
        <v>11</v>
      </c>
      <c r="G42" s="35">
        <f>E42+F42</f>
        <v>33</v>
      </c>
      <c r="H42" s="33">
        <f>ROUNDUP(E42/$E$4,0)</f>
        <v>3</v>
      </c>
      <c r="I42" s="34">
        <f>ROUNDUP(F42/$E$4,0)</f>
        <v>2</v>
      </c>
      <c r="J42" s="14">
        <f>(H42+I42)*$E$5</f>
        <v>5</v>
      </c>
      <c r="K42" s="14">
        <f>(H42+I42)*$E$6</f>
        <v>10</v>
      </c>
      <c r="L42" s="14">
        <f>(H42+I42)*$E$7</f>
        <v>5</v>
      </c>
    </row>
    <row r="43">
      <c r="A43" s="32" t="n">
        <v>46266</v>
      </c>
      <c r="B43" s="6">
        <f>YEAR(A43)</f>
        <v>2026</v>
      </c>
      <c r="C43" s="6">
        <f>COUNTIFS('Парк NTE'!$F$5:$F$134,"&gt;="&amp;A43,'Парк NTE'!$F$5:$F$134,"&lt;="&amp;EOMONTH(A43,0))</f>
        <v>0</v>
      </c>
      <c r="D43" s="6">
        <f>COUNTIFS('Парк NTE'!$G$5:$G$134,"&gt;="&amp;A43,'Парк NTE'!$G$5:$G$134,"&lt;="&amp;EOMONTH(A43,0))</f>
        <v>4</v>
      </c>
      <c r="E43" s="33">
        <f>SUMPRODUCT(('Парк NTE'!$B$5:$B$134="Полюс Красноярск")*('Парк NTE'!$F$5:$F$134&lt;=EOMONTH(A43,0))*('Парк NTE'!$G$5:$G$134&gt;=A43))</f>
        <v>17</v>
      </c>
      <c r="F43" s="34">
        <f>SUMPRODUCT(('Парк NTE'!$B$5:$B$134="Полюс Магадан")*('Парк NTE'!$F$5:$F$134&lt;=EOMONTH(A43,0))*('Парк NTE'!$G$5:$G$134&gt;=A43))</f>
        <v>11</v>
      </c>
      <c r="G43" s="35">
        <f>E43+F43</f>
        <v>28</v>
      </c>
      <c r="H43" s="33">
        <f>ROUNDUP(E43/$E$4,0)</f>
        <v>2</v>
      </c>
      <c r="I43" s="34">
        <f>ROUNDUP(F43/$E$4,0)</f>
        <v>2</v>
      </c>
      <c r="J43" s="14">
        <f>(H43+I43)*$E$5</f>
        <v>4</v>
      </c>
      <c r="K43" s="14">
        <f>(H43+I43)*$E$6</f>
        <v>8</v>
      </c>
      <c r="L43" s="14">
        <f>(H43+I43)*$E$7</f>
        <v>4</v>
      </c>
    </row>
    <row r="44">
      <c r="A44" s="32" t="n">
        <v>46296</v>
      </c>
      <c r="B44" s="6">
        <f>YEAR(A44)</f>
        <v>2026</v>
      </c>
      <c r="C44" s="6">
        <f>COUNTIFS('Парк NTE'!$F$5:$F$134,"&gt;="&amp;A44,'Парк NTE'!$F$5:$F$134,"&lt;="&amp;EOMONTH(A44,0))</f>
        <v>0</v>
      </c>
      <c r="D44" s="6">
        <f>COUNTIFS('Парк NTE'!$G$5:$G$134,"&gt;="&amp;A44,'Парк NTE'!$G$5:$G$134,"&lt;="&amp;EOMONTH(A44,0))</f>
        <v>1</v>
      </c>
      <c r="E44" s="33">
        <f>SUMPRODUCT(('Парк NTE'!$B$5:$B$134="Полюс Красноярск")*('Парк NTE'!$F$5:$F$134&lt;=EOMONTH(A44,0))*('Парк NTE'!$G$5:$G$134&gt;=A44))</f>
        <v>13</v>
      </c>
      <c r="F44" s="34">
        <f>SUMPRODUCT(('Парк NTE'!$B$5:$B$134="Полюс Магадан")*('Парк NTE'!$F$5:$F$134&lt;=EOMONTH(A44,0))*('Парк NTE'!$G$5:$G$134&gt;=A44))</f>
        <v>11</v>
      </c>
      <c r="G44" s="35">
        <f>E44+F44</f>
        <v>24</v>
      </c>
      <c r="H44" s="33">
        <f>ROUNDUP(E44/$E$4,0)</f>
        <v>2</v>
      </c>
      <c r="I44" s="34">
        <f>ROUNDUP(F44/$E$4,0)</f>
        <v>2</v>
      </c>
      <c r="J44" s="14">
        <f>(H44+I44)*$E$5</f>
        <v>4</v>
      </c>
      <c r="K44" s="14">
        <f>(H44+I44)*$E$6</f>
        <v>8</v>
      </c>
      <c r="L44" s="14">
        <f>(H44+I44)*$E$7</f>
        <v>4</v>
      </c>
    </row>
    <row r="45">
      <c r="A45" s="32" t="n">
        <v>46327</v>
      </c>
      <c r="B45" s="6">
        <f>YEAR(A45)</f>
        <v>2026</v>
      </c>
      <c r="C45" s="6">
        <f>COUNTIFS('Парк NTE'!$F$5:$F$134,"&gt;="&amp;A45,'Парк NTE'!$F$5:$F$134,"&lt;="&amp;EOMONTH(A45,0))</f>
        <v>0</v>
      </c>
      <c r="D45" s="6">
        <f>COUNTIFS('Парк NTE'!$G$5:$G$134,"&gt;="&amp;A45,'Парк NTE'!$G$5:$G$134,"&lt;="&amp;EOMONTH(A45,0))</f>
        <v>0</v>
      </c>
      <c r="E45" s="33">
        <f>SUMPRODUCT(('Парк NTE'!$B$5:$B$134="Полюс Красноярск")*('Парк NTE'!$F$5:$F$134&lt;=EOMONTH(A45,0))*('Парк NTE'!$G$5:$G$134&gt;=A45))</f>
        <v>12</v>
      </c>
      <c r="F45" s="34">
        <f>SUMPRODUCT(('Парк NTE'!$B$5:$B$134="Полюс Магадан")*('Парк NTE'!$F$5:$F$134&lt;=EOMONTH(A45,0))*('Парк NTE'!$G$5:$G$134&gt;=A45))</f>
        <v>11</v>
      </c>
      <c r="G45" s="35">
        <f>E45+F45</f>
        <v>23</v>
      </c>
      <c r="H45" s="33">
        <f>ROUNDUP(E45/$E$4,0)</f>
        <v>2</v>
      </c>
      <c r="I45" s="34">
        <f>ROUNDUP(F45/$E$4,0)</f>
        <v>2</v>
      </c>
      <c r="J45" s="14">
        <f>(H45+I45)*$E$5</f>
        <v>4</v>
      </c>
      <c r="K45" s="14">
        <f>(H45+I45)*$E$6</f>
        <v>8</v>
      </c>
      <c r="L45" s="14">
        <f>(H45+I45)*$E$7</f>
        <v>4</v>
      </c>
    </row>
    <row r="46">
      <c r="A46" s="32" t="n">
        <v>46357</v>
      </c>
      <c r="B46" s="6">
        <f>YEAR(A46)</f>
        <v>2026</v>
      </c>
      <c r="C46" s="6">
        <f>COUNTIFS('Парк NTE'!$F$5:$F$134,"&gt;="&amp;A46,'Парк NTE'!$F$5:$F$134,"&lt;="&amp;EOMONTH(A46,0))</f>
        <v>0</v>
      </c>
      <c r="D46" s="6">
        <f>COUNTIFS('Парк NTE'!$G$5:$G$134,"&gt;="&amp;A46,'Парк NTE'!$G$5:$G$134,"&lt;="&amp;EOMONTH(A46,0))</f>
        <v>0</v>
      </c>
      <c r="E46" s="33">
        <f>SUMPRODUCT(('Парк NTE'!$B$5:$B$134="Полюс Красноярск")*('Парк NTE'!$F$5:$F$134&lt;=EOMONTH(A46,0))*('Парк NTE'!$G$5:$G$134&gt;=A46))</f>
        <v>12</v>
      </c>
      <c r="F46" s="34">
        <f>SUMPRODUCT(('Парк NTE'!$B$5:$B$134="Полюс Магадан")*('Парк NTE'!$F$5:$F$134&lt;=EOMONTH(A46,0))*('Парк NTE'!$G$5:$G$134&gt;=A46))</f>
        <v>11</v>
      </c>
      <c r="G46" s="35">
        <f>E46+F46</f>
        <v>23</v>
      </c>
      <c r="H46" s="33">
        <f>ROUNDUP(E46/$E$4,0)</f>
        <v>2</v>
      </c>
      <c r="I46" s="34">
        <f>ROUNDUP(F46/$E$4,0)</f>
        <v>2</v>
      </c>
      <c r="J46" s="14">
        <f>(H46+I46)*$E$5</f>
        <v>4</v>
      </c>
      <c r="K46" s="14">
        <f>(H46+I46)*$E$6</f>
        <v>8</v>
      </c>
      <c r="L46" s="14">
        <f>(H46+I46)*$E$7</f>
        <v>4</v>
      </c>
    </row>
    <row r="47">
      <c r="A47" s="32" t="n">
        <v>46388</v>
      </c>
      <c r="B47" s="6">
        <f>YEAR(A47)</f>
        <v>2027</v>
      </c>
      <c r="C47" s="6">
        <f>COUNTIFS('Парк NTE'!$F$5:$F$134,"&gt;="&amp;A47,'Парк NTE'!$F$5:$F$134,"&lt;="&amp;EOMONTH(A47,0))</f>
        <v>0</v>
      </c>
      <c r="D47" s="6">
        <f>COUNTIFS('Парк NTE'!$G$5:$G$134,"&gt;="&amp;A47,'Парк NTE'!$G$5:$G$134,"&lt;="&amp;EOMONTH(A47,0))</f>
        <v>0</v>
      </c>
      <c r="E47" s="33">
        <f>SUMPRODUCT(('Парк NTE'!$B$5:$B$134="Полюс Красноярск")*('Парк NTE'!$F$5:$F$134&lt;=EOMONTH(A47,0))*('Парк NTE'!$G$5:$G$134&gt;=A47))</f>
        <v>12</v>
      </c>
      <c r="F47" s="34">
        <f>SUMPRODUCT(('Парк NTE'!$B$5:$B$134="Полюс Магадан")*('Парк NTE'!$F$5:$F$134&lt;=EOMONTH(A47,0))*('Парк NTE'!$G$5:$G$134&gt;=A47))</f>
        <v>11</v>
      </c>
      <c r="G47" s="35">
        <f>E47+F47</f>
        <v>23</v>
      </c>
      <c r="H47" s="33">
        <f>ROUNDUP(E47/$E$4,0)</f>
        <v>2</v>
      </c>
      <c r="I47" s="34">
        <f>ROUNDUP(F47/$E$4,0)</f>
        <v>2</v>
      </c>
      <c r="J47" s="14">
        <f>(H47+I47)*$E$5</f>
        <v>4</v>
      </c>
      <c r="K47" s="14">
        <f>(H47+I47)*$E$6</f>
        <v>8</v>
      </c>
      <c r="L47" s="14">
        <f>(H47+I47)*$E$7</f>
        <v>4</v>
      </c>
    </row>
    <row r="48">
      <c r="A48" s="32" t="n">
        <v>46419</v>
      </c>
      <c r="B48" s="6">
        <f>YEAR(A48)</f>
        <v>2027</v>
      </c>
      <c r="C48" s="6">
        <f>COUNTIFS('Парк NTE'!$F$5:$F$134,"&gt;="&amp;A48,'Парк NTE'!$F$5:$F$134,"&lt;="&amp;EOMONTH(A48,0))</f>
        <v>0</v>
      </c>
      <c r="D48" s="6">
        <f>COUNTIFS('Парк NTE'!$G$5:$G$134,"&gt;="&amp;A48,'Парк NTE'!$G$5:$G$134,"&lt;="&amp;EOMONTH(A48,0))</f>
        <v>0</v>
      </c>
      <c r="E48" s="33">
        <f>SUMPRODUCT(('Парк NTE'!$B$5:$B$134="Полюс Красноярск")*('Парк NTE'!$F$5:$F$134&lt;=EOMONTH(A48,0))*('Парк NTE'!$G$5:$G$134&gt;=A48))</f>
        <v>12</v>
      </c>
      <c r="F48" s="34">
        <f>SUMPRODUCT(('Парк NTE'!$B$5:$B$134="Полюс Магадан")*('Парк NTE'!$F$5:$F$134&lt;=EOMONTH(A48,0))*('Парк NTE'!$G$5:$G$134&gt;=A48))</f>
        <v>11</v>
      </c>
      <c r="G48" s="35">
        <f>E48+F48</f>
        <v>23</v>
      </c>
      <c r="H48" s="33">
        <f>ROUNDUP(E48/$E$4,0)</f>
        <v>2</v>
      </c>
      <c r="I48" s="34">
        <f>ROUNDUP(F48/$E$4,0)</f>
        <v>2</v>
      </c>
      <c r="J48" s="14">
        <f>(H48+I48)*$E$5</f>
        <v>4</v>
      </c>
      <c r="K48" s="14">
        <f>(H48+I48)*$E$6</f>
        <v>8</v>
      </c>
      <c r="L48" s="14">
        <f>(H48+I48)*$E$7</f>
        <v>4</v>
      </c>
    </row>
    <row r="49">
      <c r="A49" s="32" t="n">
        <v>46447</v>
      </c>
      <c r="B49" s="6">
        <f>YEAR(A49)</f>
        <v>2027</v>
      </c>
      <c r="C49" s="6">
        <f>COUNTIFS('Парк NTE'!$F$5:$F$134,"&gt;="&amp;A49,'Парк NTE'!$F$5:$F$134,"&lt;="&amp;EOMONTH(A49,0))</f>
        <v>0</v>
      </c>
      <c r="D49" s="6">
        <f>COUNTIFS('Парк NTE'!$G$5:$G$134,"&gt;="&amp;A49,'Парк NTE'!$G$5:$G$134,"&lt;="&amp;EOMONTH(A49,0))</f>
        <v>0</v>
      </c>
      <c r="E49" s="33">
        <f>SUMPRODUCT(('Парк NTE'!$B$5:$B$134="Полюс Красноярск")*('Парк NTE'!$F$5:$F$134&lt;=EOMONTH(A49,0))*('Парк NTE'!$G$5:$G$134&gt;=A49))</f>
        <v>12</v>
      </c>
      <c r="F49" s="34">
        <f>SUMPRODUCT(('Парк NTE'!$B$5:$B$134="Полюс Магадан")*('Парк NTE'!$F$5:$F$134&lt;=EOMONTH(A49,0))*('Парк NTE'!$G$5:$G$134&gt;=A49))</f>
        <v>11</v>
      </c>
      <c r="G49" s="35">
        <f>E49+F49</f>
        <v>23</v>
      </c>
      <c r="H49" s="33">
        <f>ROUNDUP(E49/$E$4,0)</f>
        <v>2</v>
      </c>
      <c r="I49" s="34">
        <f>ROUNDUP(F49/$E$4,0)</f>
        <v>2</v>
      </c>
      <c r="J49" s="14">
        <f>(H49+I49)*$E$5</f>
        <v>4</v>
      </c>
      <c r="K49" s="14">
        <f>(H49+I49)*$E$6</f>
        <v>8</v>
      </c>
      <c r="L49" s="14">
        <f>(H49+I49)*$E$7</f>
        <v>4</v>
      </c>
    </row>
    <row r="50">
      <c r="A50" s="32" t="n">
        <v>46478</v>
      </c>
      <c r="B50" s="6">
        <f>YEAR(A50)</f>
        <v>2027</v>
      </c>
      <c r="C50" s="6">
        <f>COUNTIFS('Парк NTE'!$F$5:$F$134,"&gt;="&amp;A50,'Парк NTE'!$F$5:$F$134,"&lt;="&amp;EOMONTH(A50,0))</f>
        <v>0</v>
      </c>
      <c r="D50" s="6">
        <f>COUNTIFS('Парк NTE'!$G$5:$G$134,"&gt;="&amp;A50,'Парк NTE'!$G$5:$G$134,"&lt;="&amp;EOMONTH(A50,0))</f>
        <v>0</v>
      </c>
      <c r="E50" s="33">
        <f>SUMPRODUCT(('Парк NTE'!$B$5:$B$134="Полюс Красноярск")*('Парк NTE'!$F$5:$F$134&lt;=EOMONTH(A50,0))*('Парк NTE'!$G$5:$G$134&gt;=A50))</f>
        <v>12</v>
      </c>
      <c r="F50" s="34">
        <f>SUMPRODUCT(('Парк NTE'!$B$5:$B$134="Полюс Магадан")*('Парк NTE'!$F$5:$F$134&lt;=EOMONTH(A50,0))*('Парк NTE'!$G$5:$G$134&gt;=A50))</f>
        <v>11</v>
      </c>
      <c r="G50" s="35">
        <f>E50+F50</f>
        <v>23</v>
      </c>
      <c r="H50" s="33">
        <f>ROUNDUP(E50/$E$4,0)</f>
        <v>2</v>
      </c>
      <c r="I50" s="34">
        <f>ROUNDUP(F50/$E$4,0)</f>
        <v>2</v>
      </c>
      <c r="J50" s="14">
        <f>(H50+I50)*$E$5</f>
        <v>4</v>
      </c>
      <c r="K50" s="14">
        <f>(H50+I50)*$E$6</f>
        <v>8</v>
      </c>
      <c r="L50" s="14">
        <f>(H50+I50)*$E$7</f>
        <v>4</v>
      </c>
    </row>
    <row r="51">
      <c r="A51" s="32" t="n">
        <v>46508</v>
      </c>
      <c r="B51" s="6">
        <f>YEAR(A51)</f>
        <v>2027</v>
      </c>
      <c r="C51" s="6">
        <f>COUNTIFS('Парк NTE'!$F$5:$F$134,"&gt;="&amp;A51,'Парк NTE'!$F$5:$F$134,"&lt;="&amp;EOMONTH(A51,0))</f>
        <v>0</v>
      </c>
      <c r="D51" s="6">
        <f>COUNTIFS('Парк NTE'!$G$5:$G$134,"&gt;="&amp;A51,'Парк NTE'!$G$5:$G$134,"&lt;="&amp;EOMONTH(A51,0))</f>
        <v>0</v>
      </c>
      <c r="E51" s="33">
        <f>SUMPRODUCT(('Парк NTE'!$B$5:$B$134="Полюс Красноярск")*('Парк NTE'!$F$5:$F$134&lt;=EOMONTH(A51,0))*('Парк NTE'!$G$5:$G$134&gt;=A51))</f>
        <v>12</v>
      </c>
      <c r="F51" s="34">
        <f>SUMPRODUCT(('Парк NTE'!$B$5:$B$134="Полюс Магадан")*('Парк NTE'!$F$5:$F$134&lt;=EOMONTH(A51,0))*('Парк NTE'!$G$5:$G$134&gt;=A51))</f>
        <v>11</v>
      </c>
      <c r="G51" s="35">
        <f>E51+F51</f>
        <v>23</v>
      </c>
      <c r="H51" s="33">
        <f>ROUNDUP(E51/$E$4,0)</f>
        <v>2</v>
      </c>
      <c r="I51" s="34">
        <f>ROUNDUP(F51/$E$4,0)</f>
        <v>2</v>
      </c>
      <c r="J51" s="14">
        <f>(H51+I51)*$E$5</f>
        <v>4</v>
      </c>
      <c r="K51" s="14">
        <f>(H51+I51)*$E$6</f>
        <v>8</v>
      </c>
      <c r="L51" s="14">
        <f>(H51+I51)*$E$7</f>
        <v>4</v>
      </c>
    </row>
    <row r="52">
      <c r="A52" s="32" t="n">
        <v>46539</v>
      </c>
      <c r="B52" s="6">
        <f>YEAR(A52)</f>
        <v>2027</v>
      </c>
      <c r="C52" s="6">
        <f>COUNTIFS('Парк NTE'!$F$5:$F$134,"&gt;="&amp;A52,'Парк NTE'!$F$5:$F$134,"&lt;="&amp;EOMONTH(A52,0))</f>
        <v>0</v>
      </c>
      <c r="D52" s="6">
        <f>COUNTIFS('Парк NTE'!$G$5:$G$134,"&gt;="&amp;A52,'Парк NTE'!$G$5:$G$134,"&lt;="&amp;EOMONTH(A52,0))</f>
        <v>0</v>
      </c>
      <c r="E52" s="33">
        <f>SUMPRODUCT(('Парк NTE'!$B$5:$B$134="Полюс Красноярск")*('Парк NTE'!$F$5:$F$134&lt;=EOMONTH(A52,0))*('Парк NTE'!$G$5:$G$134&gt;=A52))</f>
        <v>12</v>
      </c>
      <c r="F52" s="34">
        <f>SUMPRODUCT(('Парк NTE'!$B$5:$B$134="Полюс Магадан")*('Парк NTE'!$F$5:$F$134&lt;=EOMONTH(A52,0))*('Парк NTE'!$G$5:$G$134&gt;=A52))</f>
        <v>11</v>
      </c>
      <c r="G52" s="35">
        <f>E52+F52</f>
        <v>23</v>
      </c>
      <c r="H52" s="33">
        <f>ROUNDUP(E52/$E$4,0)</f>
        <v>2</v>
      </c>
      <c r="I52" s="34">
        <f>ROUNDUP(F52/$E$4,0)</f>
        <v>2</v>
      </c>
      <c r="J52" s="14">
        <f>(H52+I52)*$E$5</f>
        <v>4</v>
      </c>
      <c r="K52" s="14">
        <f>(H52+I52)*$E$6</f>
        <v>8</v>
      </c>
      <c r="L52" s="14">
        <f>(H52+I52)*$E$7</f>
        <v>4</v>
      </c>
    </row>
    <row r="53">
      <c r="A53" s="32" t="n">
        <v>46569</v>
      </c>
      <c r="B53" s="6">
        <f>YEAR(A53)</f>
        <v>2027</v>
      </c>
      <c r="C53" s="6">
        <f>COUNTIFS('Парк NTE'!$F$5:$F$134,"&gt;="&amp;A53,'Парк NTE'!$F$5:$F$134,"&lt;="&amp;EOMONTH(A53,0))</f>
        <v>0</v>
      </c>
      <c r="D53" s="6">
        <f>COUNTIFS('Парк NTE'!$G$5:$G$134,"&gt;="&amp;A53,'Парк NTE'!$G$5:$G$134,"&lt;="&amp;EOMONTH(A53,0))</f>
        <v>0</v>
      </c>
      <c r="E53" s="33">
        <f>SUMPRODUCT(('Парк NTE'!$B$5:$B$134="Полюс Красноярск")*('Парк NTE'!$F$5:$F$134&lt;=EOMONTH(A53,0))*('Парк NTE'!$G$5:$G$134&gt;=A53))</f>
        <v>12</v>
      </c>
      <c r="F53" s="34">
        <f>SUMPRODUCT(('Парк NTE'!$B$5:$B$134="Полюс Магадан")*('Парк NTE'!$F$5:$F$134&lt;=EOMONTH(A53,0))*('Парк NTE'!$G$5:$G$134&gt;=A53))</f>
        <v>11</v>
      </c>
      <c r="G53" s="35">
        <f>E53+F53</f>
        <v>23</v>
      </c>
      <c r="H53" s="33">
        <f>ROUNDUP(E53/$E$4,0)</f>
        <v>2</v>
      </c>
      <c r="I53" s="34">
        <f>ROUNDUP(F53/$E$4,0)</f>
        <v>2</v>
      </c>
      <c r="J53" s="14">
        <f>(H53+I53)*$E$5</f>
        <v>4</v>
      </c>
      <c r="K53" s="14">
        <f>(H53+I53)*$E$6</f>
        <v>8</v>
      </c>
      <c r="L53" s="14">
        <f>(H53+I53)*$E$7</f>
        <v>4</v>
      </c>
    </row>
    <row r="54">
      <c r="A54" s="32" t="n">
        <v>46600</v>
      </c>
      <c r="B54" s="6">
        <f>YEAR(A54)</f>
        <v>2027</v>
      </c>
      <c r="C54" s="6">
        <f>COUNTIFS('Парк NTE'!$F$5:$F$134,"&gt;="&amp;A54,'Парк NTE'!$F$5:$F$134,"&lt;="&amp;EOMONTH(A54,0))</f>
        <v>0</v>
      </c>
      <c r="D54" s="6">
        <f>COUNTIFS('Парк NTE'!$G$5:$G$134,"&gt;="&amp;A54,'Парк NTE'!$G$5:$G$134,"&lt;="&amp;EOMONTH(A54,0))</f>
        <v>0</v>
      </c>
      <c r="E54" s="33">
        <f>SUMPRODUCT(('Парк NTE'!$B$5:$B$134="Полюс Красноярск")*('Парк NTE'!$F$5:$F$134&lt;=EOMONTH(A54,0))*('Парк NTE'!$G$5:$G$134&gt;=A54))</f>
        <v>12</v>
      </c>
      <c r="F54" s="34">
        <f>SUMPRODUCT(('Парк NTE'!$B$5:$B$134="Полюс Магадан")*('Парк NTE'!$F$5:$F$134&lt;=EOMONTH(A54,0))*('Парк NTE'!$G$5:$G$134&gt;=A54))</f>
        <v>11</v>
      </c>
      <c r="G54" s="35">
        <f>E54+F54</f>
        <v>23</v>
      </c>
      <c r="H54" s="33">
        <f>ROUNDUP(E54/$E$4,0)</f>
        <v>2</v>
      </c>
      <c r="I54" s="34">
        <f>ROUNDUP(F54/$E$4,0)</f>
        <v>2</v>
      </c>
      <c r="J54" s="14">
        <f>(H54+I54)*$E$5</f>
        <v>4</v>
      </c>
      <c r="K54" s="14">
        <f>(H54+I54)*$E$6</f>
        <v>8</v>
      </c>
      <c r="L54" s="14">
        <f>(H54+I54)*$E$7</f>
        <v>4</v>
      </c>
    </row>
    <row r="55">
      <c r="A55" s="32" t="n">
        <v>46631</v>
      </c>
      <c r="B55" s="6">
        <f>YEAR(A55)</f>
        <v>2027</v>
      </c>
      <c r="C55" s="6">
        <f>COUNTIFS('Парк NTE'!$F$5:$F$134,"&gt;="&amp;A55,'Парк NTE'!$F$5:$F$134,"&lt;="&amp;EOMONTH(A55,0))</f>
        <v>0</v>
      </c>
      <c r="D55" s="6">
        <f>COUNTIFS('Парк NTE'!$G$5:$G$134,"&gt;="&amp;A55,'Парк NTE'!$G$5:$G$134,"&lt;="&amp;EOMONTH(A55,0))</f>
        <v>0</v>
      </c>
      <c r="E55" s="33">
        <f>SUMPRODUCT(('Парк NTE'!$B$5:$B$134="Полюс Красноярск")*('Парк NTE'!$F$5:$F$134&lt;=EOMONTH(A55,0))*('Парк NTE'!$G$5:$G$134&gt;=A55))</f>
        <v>12</v>
      </c>
      <c r="F55" s="34">
        <f>SUMPRODUCT(('Парк NTE'!$B$5:$B$134="Полюс Магадан")*('Парк NTE'!$F$5:$F$134&lt;=EOMONTH(A55,0))*('Парк NTE'!$G$5:$G$134&gt;=A55))</f>
        <v>11</v>
      </c>
      <c r="G55" s="35">
        <f>E55+F55</f>
        <v>23</v>
      </c>
      <c r="H55" s="33">
        <f>ROUNDUP(E55/$E$4,0)</f>
        <v>2</v>
      </c>
      <c r="I55" s="34">
        <f>ROUNDUP(F55/$E$4,0)</f>
        <v>2</v>
      </c>
      <c r="J55" s="14">
        <f>(H55+I55)*$E$5</f>
        <v>4</v>
      </c>
      <c r="K55" s="14">
        <f>(H55+I55)*$E$6</f>
        <v>8</v>
      </c>
      <c r="L55" s="14">
        <f>(H55+I55)*$E$7</f>
        <v>4</v>
      </c>
    </row>
    <row r="56">
      <c r="A56" s="32" t="n">
        <v>46661</v>
      </c>
      <c r="B56" s="6">
        <f>YEAR(A56)</f>
        <v>2027</v>
      </c>
      <c r="C56" s="6">
        <f>COUNTIFS('Парк NTE'!$F$5:$F$134,"&gt;="&amp;A56,'Парк NTE'!$F$5:$F$134,"&lt;="&amp;EOMONTH(A56,0))</f>
        <v>0</v>
      </c>
      <c r="D56" s="6">
        <f>COUNTIFS('Парк NTE'!$G$5:$G$134,"&gt;="&amp;A56,'Парк NTE'!$G$5:$G$134,"&lt;="&amp;EOMONTH(A56,0))</f>
        <v>5</v>
      </c>
      <c r="E56" s="33">
        <f>SUMPRODUCT(('Парк NTE'!$B$5:$B$134="Полюс Красноярск")*('Парк NTE'!$F$5:$F$134&lt;=EOMONTH(A56,0))*('Парк NTE'!$G$5:$G$134&gt;=A56))</f>
        <v>12</v>
      </c>
      <c r="F56" s="34">
        <f>SUMPRODUCT(('Парк NTE'!$B$5:$B$134="Полюс Магадан")*('Парк NTE'!$F$5:$F$134&lt;=EOMONTH(A56,0))*('Парк NTE'!$G$5:$G$134&gt;=A56))</f>
        <v>11</v>
      </c>
      <c r="G56" s="35">
        <f>E56+F56</f>
        <v>23</v>
      </c>
      <c r="H56" s="33">
        <f>ROUNDUP(E56/$E$4,0)</f>
        <v>2</v>
      </c>
      <c r="I56" s="34">
        <f>ROUNDUP(F56/$E$4,0)</f>
        <v>2</v>
      </c>
      <c r="J56" s="14">
        <f>(H56+I56)*$E$5</f>
        <v>4</v>
      </c>
      <c r="K56" s="14">
        <f>(H56+I56)*$E$6</f>
        <v>8</v>
      </c>
      <c r="L56" s="14">
        <f>(H56+I56)*$E$7</f>
        <v>4</v>
      </c>
    </row>
    <row r="57">
      <c r="A57" s="32" t="n">
        <v>46692</v>
      </c>
      <c r="B57" s="6">
        <f>YEAR(A57)</f>
        <v>2027</v>
      </c>
      <c r="C57" s="6">
        <f>COUNTIFS('Парк NTE'!$F$5:$F$134,"&gt;="&amp;A57,'Парк NTE'!$F$5:$F$134,"&lt;="&amp;EOMONTH(A57,0))</f>
        <v>0</v>
      </c>
      <c r="D57" s="6">
        <f>COUNTIFS('Парк NTE'!$G$5:$G$134,"&gt;="&amp;A57,'Парк NTE'!$G$5:$G$134,"&lt;="&amp;EOMONTH(A57,0))</f>
        <v>4</v>
      </c>
      <c r="E57" s="33">
        <f>SUMPRODUCT(('Парк NTE'!$B$5:$B$134="Полюс Красноярск")*('Парк NTE'!$F$5:$F$134&lt;=EOMONTH(A57,0))*('Парк NTE'!$G$5:$G$134&gt;=A57))</f>
        <v>8</v>
      </c>
      <c r="F57" s="34">
        <f>SUMPRODUCT(('Парк NTE'!$B$5:$B$134="Полюс Магадан")*('Парк NTE'!$F$5:$F$134&lt;=EOMONTH(A57,0))*('Парк NTE'!$G$5:$G$134&gt;=A57))</f>
        <v>10</v>
      </c>
      <c r="G57" s="35">
        <f>E57+F57</f>
        <v>18</v>
      </c>
      <c r="H57" s="33">
        <f>ROUNDUP(E57/$E$4,0)</f>
        <v>1</v>
      </c>
      <c r="I57" s="34">
        <f>ROUNDUP(F57/$E$4,0)</f>
        <v>1</v>
      </c>
      <c r="J57" s="14">
        <f>(H57+I57)*$E$5</f>
        <v>2</v>
      </c>
      <c r="K57" s="14">
        <f>(H57+I57)*$E$6</f>
        <v>4</v>
      </c>
      <c r="L57" s="14">
        <f>(H57+I57)*$E$7</f>
        <v>2</v>
      </c>
    </row>
    <row r="58">
      <c r="A58" s="32" t="n">
        <v>46722</v>
      </c>
      <c r="B58" s="6">
        <f>YEAR(A58)</f>
        <v>2027</v>
      </c>
      <c r="C58" s="6">
        <f>COUNTIFS('Парк NTE'!$F$5:$F$134,"&gt;="&amp;A58,'Парк NTE'!$F$5:$F$134,"&lt;="&amp;EOMONTH(A58,0))</f>
        <v>0</v>
      </c>
      <c r="D58" s="6">
        <f>COUNTIFS('Парк NTE'!$G$5:$G$134,"&gt;="&amp;A58,'Парк NTE'!$G$5:$G$134,"&lt;="&amp;EOMONTH(A58,0))</f>
        <v>6</v>
      </c>
      <c r="E58" s="33">
        <f>SUMPRODUCT(('Парк NTE'!$B$5:$B$134="Полюс Красноярск")*('Парк NTE'!$F$5:$F$134&lt;=EOMONTH(A58,0))*('Парк NTE'!$G$5:$G$134&gt;=A58))</f>
        <v>8</v>
      </c>
      <c r="F58" s="34">
        <f>SUMPRODUCT(('Парк NTE'!$B$5:$B$134="Полюс Магадан")*('Парк NTE'!$F$5:$F$134&lt;=EOMONTH(A58,0))*('Парк NTE'!$G$5:$G$134&gt;=A58))</f>
        <v>6</v>
      </c>
      <c r="G58" s="35">
        <f>E58+F58</f>
        <v>14</v>
      </c>
      <c r="H58" s="33">
        <f>ROUNDUP(E58/$E$4,0)</f>
        <v>1</v>
      </c>
      <c r="I58" s="34">
        <f>ROUNDUP(F58/$E$4,0)</f>
        <v>1</v>
      </c>
      <c r="J58" s="14">
        <f>(H58+I58)*$E$5</f>
        <v>2</v>
      </c>
      <c r="K58" s="14">
        <f>(H58+I58)*$E$6</f>
        <v>4</v>
      </c>
      <c r="L58" s="14">
        <f>(H58+I58)*$E$7</f>
        <v>2</v>
      </c>
    </row>
    <row r="59">
      <c r="A59" s="32" t="n">
        <v>46753</v>
      </c>
      <c r="B59" s="6">
        <f>YEAR(A59)</f>
        <v>2028</v>
      </c>
      <c r="C59" s="6">
        <f>COUNTIFS('Парк NTE'!$F$5:$F$134,"&gt;="&amp;A59,'Парк NTE'!$F$5:$F$134,"&lt;="&amp;EOMONTH(A59,0))</f>
        <v>0</v>
      </c>
      <c r="D59" s="6">
        <f>COUNTIFS('Парк NTE'!$G$5:$G$134,"&gt;="&amp;A59,'Парк NTE'!$G$5:$G$134,"&lt;="&amp;EOMONTH(A59,0))</f>
        <v>0</v>
      </c>
      <c r="E59" s="33">
        <f>SUMPRODUCT(('Парк NTE'!$B$5:$B$134="Полюс Красноярск")*('Парк NTE'!$F$5:$F$134&lt;=EOMONTH(A59,0))*('Парк NTE'!$G$5:$G$134&gt;=A59))</f>
        <v>8</v>
      </c>
      <c r="F59" s="34">
        <f>SUMPRODUCT(('Парк NTE'!$B$5:$B$134="Полюс Магадан")*('Парк NTE'!$F$5:$F$134&lt;=EOMONTH(A59,0))*('Парк NTE'!$G$5:$G$134&gt;=A59))</f>
        <v>0</v>
      </c>
      <c r="G59" s="35">
        <f>E59+F59</f>
        <v>8</v>
      </c>
      <c r="H59" s="33">
        <f>ROUNDUP(E59/$E$4,0)</f>
        <v>1</v>
      </c>
      <c r="I59" s="34">
        <f>ROUNDUP(F59/$E$4,0)</f>
        <v>0</v>
      </c>
      <c r="J59" s="14">
        <f>(H59+I59)*$E$5</f>
        <v>1</v>
      </c>
      <c r="K59" s="14">
        <f>(H59+I59)*$E$6</f>
        <v>2</v>
      </c>
      <c r="L59" s="14">
        <f>(H59+I59)*$E$7</f>
        <v>1</v>
      </c>
    </row>
    <row r="60">
      <c r="A60" s="32" t="n">
        <v>46784</v>
      </c>
      <c r="B60" s="6">
        <f>YEAR(A60)</f>
        <v>2028</v>
      </c>
      <c r="C60" s="6">
        <f>COUNTIFS('Парк NTE'!$F$5:$F$134,"&gt;="&amp;A60,'Парк NTE'!$F$5:$F$134,"&lt;="&amp;EOMONTH(A60,0))</f>
        <v>0</v>
      </c>
      <c r="D60" s="6">
        <f>COUNTIFS('Парк NTE'!$G$5:$G$134,"&gt;="&amp;A60,'Парк NTE'!$G$5:$G$134,"&lt;="&amp;EOMONTH(A60,0))</f>
        <v>2</v>
      </c>
      <c r="E60" s="33">
        <f>SUMPRODUCT(('Парк NTE'!$B$5:$B$134="Полюс Красноярск")*('Парк NTE'!$F$5:$F$134&lt;=EOMONTH(A60,0))*('Парк NTE'!$G$5:$G$134&gt;=A60))</f>
        <v>8</v>
      </c>
      <c r="F60" s="34">
        <f>SUMPRODUCT(('Парк NTE'!$B$5:$B$134="Полюс Магадан")*('Парк NTE'!$F$5:$F$134&lt;=EOMONTH(A60,0))*('Парк NTE'!$G$5:$G$134&gt;=A60))</f>
        <v>0</v>
      </c>
      <c r="G60" s="35">
        <f>E60+F60</f>
        <v>8</v>
      </c>
      <c r="H60" s="33">
        <f>ROUNDUP(E60/$E$4,0)</f>
        <v>1</v>
      </c>
      <c r="I60" s="34">
        <f>ROUNDUP(F60/$E$4,0)</f>
        <v>0</v>
      </c>
      <c r="J60" s="14">
        <f>(H60+I60)*$E$5</f>
        <v>1</v>
      </c>
      <c r="K60" s="14">
        <f>(H60+I60)*$E$6</f>
        <v>2</v>
      </c>
      <c r="L60" s="14">
        <f>(H60+I60)*$E$7</f>
        <v>1</v>
      </c>
    </row>
    <row r="61">
      <c r="A61" s="32" t="n">
        <v>46813</v>
      </c>
      <c r="B61" s="6">
        <f>YEAR(A61)</f>
        <v>2028</v>
      </c>
      <c r="C61" s="6">
        <f>COUNTIFS('Парк NTE'!$F$5:$F$134,"&gt;="&amp;A61,'Парк NTE'!$F$5:$F$134,"&lt;="&amp;EOMONTH(A61,0))</f>
        <v>0</v>
      </c>
      <c r="D61" s="6">
        <f>COUNTIFS('Парк NTE'!$G$5:$G$134,"&gt;="&amp;A61,'Парк NTE'!$G$5:$G$134,"&lt;="&amp;EOMONTH(A61,0))</f>
        <v>4</v>
      </c>
      <c r="E61" s="33">
        <f>SUMPRODUCT(('Парк NTE'!$B$5:$B$134="Полюс Красноярск")*('Парк NTE'!$F$5:$F$134&lt;=EOMONTH(A61,0))*('Парк NTE'!$G$5:$G$134&gt;=A61))</f>
        <v>6</v>
      </c>
      <c r="F61" s="34">
        <f>SUMPRODUCT(('Парк NTE'!$B$5:$B$134="Полюс Магадан")*('Парк NTE'!$F$5:$F$134&lt;=EOMONTH(A61,0))*('Парк NTE'!$G$5:$G$134&gt;=A61))</f>
        <v>0</v>
      </c>
      <c r="G61" s="35">
        <f>E61+F61</f>
        <v>6</v>
      </c>
      <c r="H61" s="33">
        <f>ROUNDUP(E61/$E$4,0)</f>
        <v>1</v>
      </c>
      <c r="I61" s="34">
        <f>ROUNDUP(F61/$E$4,0)</f>
        <v>0</v>
      </c>
      <c r="J61" s="14">
        <f>(H61+I61)*$E$5</f>
        <v>1</v>
      </c>
      <c r="K61" s="14">
        <f>(H61+I61)*$E$6</f>
        <v>2</v>
      </c>
      <c r="L61" s="14">
        <f>(H61+I61)*$E$7</f>
        <v>1</v>
      </c>
    </row>
    <row r="62">
      <c r="A62" s="32" t="n">
        <v>46844</v>
      </c>
      <c r="B62" s="6">
        <f>YEAR(A62)</f>
        <v>2028</v>
      </c>
      <c r="C62" s="6">
        <f>COUNTIFS('Парк NTE'!$F$5:$F$134,"&gt;="&amp;A62,'Парк NTE'!$F$5:$F$134,"&lt;="&amp;EOMONTH(A62,0))</f>
        <v>0</v>
      </c>
      <c r="D62" s="6">
        <f>COUNTIFS('Парк NTE'!$G$5:$G$134,"&gt;="&amp;A62,'Парк NTE'!$G$5:$G$134,"&lt;="&amp;EOMONTH(A62,0))</f>
        <v>2</v>
      </c>
      <c r="E62" s="33">
        <f>SUMPRODUCT(('Парк NTE'!$B$5:$B$134="Полюс Красноярск")*('Парк NTE'!$F$5:$F$134&lt;=EOMONTH(A62,0))*('Парк NTE'!$G$5:$G$134&gt;=A62))</f>
        <v>2</v>
      </c>
      <c r="F62" s="34">
        <f>SUMPRODUCT(('Парк NTE'!$B$5:$B$134="Полюс Магадан")*('Парк NTE'!$F$5:$F$134&lt;=EOMONTH(A62,0))*('Парк NTE'!$G$5:$G$134&gt;=A62))</f>
        <v>0</v>
      </c>
      <c r="G62" s="35">
        <f>E62+F62</f>
        <v>2</v>
      </c>
      <c r="H62" s="33">
        <f>ROUNDUP(E62/$E$4,0)</f>
        <v>1</v>
      </c>
      <c r="I62" s="34">
        <f>ROUNDUP(F62/$E$4,0)</f>
        <v>0</v>
      </c>
      <c r="J62" s="14">
        <f>(H62+I62)*$E$5</f>
        <v>1</v>
      </c>
      <c r="K62" s="14">
        <f>(H62+I62)*$E$6</f>
        <v>2</v>
      </c>
      <c r="L62" s="14">
        <f>(H62+I62)*$E$7</f>
        <v>1</v>
      </c>
    </row>
    <row r="63">
      <c r="A63" s="32" t="n">
        <v>46874</v>
      </c>
      <c r="B63" s="6">
        <f>YEAR(A63)</f>
        <v>2028</v>
      </c>
      <c r="C63" s="6">
        <f>COUNTIFS('Парк NTE'!$F$5:$F$134,"&gt;="&amp;A63,'Парк NTE'!$F$5:$F$134,"&lt;="&amp;EOMONTH(A63,0))</f>
        <v>0</v>
      </c>
      <c r="D63" s="6">
        <f>COUNTIFS('Парк NTE'!$G$5:$G$134,"&gt;="&amp;A63,'Парк NTE'!$G$5:$G$134,"&lt;="&amp;EOMONTH(A63,0))</f>
        <v>0</v>
      </c>
      <c r="E63" s="33">
        <f>SUMPRODUCT(('Парк NTE'!$B$5:$B$134="Полюс Красноярск")*('Парк NTE'!$F$5:$F$134&lt;=EOMONTH(A63,0))*('Парк NTE'!$G$5:$G$134&gt;=A63))</f>
        <v>0</v>
      </c>
      <c r="F63" s="34">
        <f>SUMPRODUCT(('Парк NTE'!$B$5:$B$134="Полюс Магадан")*('Парк NTE'!$F$5:$F$134&lt;=EOMONTH(A63,0))*('Парк NTE'!$G$5:$G$134&gt;=A63))</f>
        <v>0</v>
      </c>
      <c r="G63" s="35">
        <f>E63+F63</f>
        <v>0</v>
      </c>
      <c r="H63" s="33">
        <f>ROUNDUP(E63/$E$4,0)</f>
        <v>0</v>
      </c>
      <c r="I63" s="34">
        <f>ROUNDUP(F63/$E$4,0)</f>
        <v>0</v>
      </c>
      <c r="J63" s="14">
        <f>(H63+I63)*$E$5</f>
        <v>0</v>
      </c>
      <c r="K63" s="14">
        <f>(H63+I63)*$E$6</f>
        <v>0</v>
      </c>
      <c r="L63" s="14">
        <f>(H63+I63)*$E$7</f>
        <v>0</v>
      </c>
    </row>
    <row r="64">
      <c r="A64" s="32" t="n">
        <v>46905</v>
      </c>
      <c r="B64" s="6">
        <f>YEAR(A64)</f>
        <v>2028</v>
      </c>
      <c r="C64" s="6">
        <f>COUNTIFS('Парк NTE'!$F$5:$F$134,"&gt;="&amp;A64,'Парк NTE'!$F$5:$F$134,"&lt;="&amp;EOMONTH(A64,0))</f>
        <v>0</v>
      </c>
      <c r="D64" s="6">
        <f>COUNTIFS('Парк NTE'!$G$5:$G$134,"&gt;="&amp;A64,'Парк NTE'!$G$5:$G$134,"&lt;="&amp;EOMONTH(A64,0))</f>
        <v>0</v>
      </c>
      <c r="E64" s="33">
        <f>SUMPRODUCT(('Парк NTE'!$B$5:$B$134="Полюс Красноярск")*('Парк NTE'!$F$5:$F$134&lt;=EOMONTH(A64,0))*('Парк NTE'!$G$5:$G$134&gt;=A64))</f>
        <v>0</v>
      </c>
      <c r="F64" s="34">
        <f>SUMPRODUCT(('Парк NTE'!$B$5:$B$134="Полюс Магадан")*('Парк NTE'!$F$5:$F$134&lt;=EOMONTH(A64,0))*('Парк NTE'!$G$5:$G$134&gt;=A64))</f>
        <v>0</v>
      </c>
      <c r="G64" s="35">
        <f>E64+F64</f>
        <v>0</v>
      </c>
      <c r="H64" s="33">
        <f>ROUNDUP(E64/$E$4,0)</f>
        <v>0</v>
      </c>
      <c r="I64" s="34">
        <f>ROUNDUP(F64/$E$4,0)</f>
        <v>0</v>
      </c>
      <c r="J64" s="14">
        <f>(H64+I64)*$E$5</f>
        <v>0</v>
      </c>
      <c r="K64" s="14">
        <f>(H64+I64)*$E$6</f>
        <v>0</v>
      </c>
      <c r="L64" s="14">
        <f>(H64+I64)*$E$7</f>
        <v>0</v>
      </c>
    </row>
    <row r="66">
      <c r="A66" s="36" t="inlineStr">
        <is>
          <t>ПИК (максимум)</t>
        </is>
      </c>
      <c r="E66" s="37">
        <f>MAX(E12:E64)</f>
        <v>45</v>
      </c>
      <c r="F66" s="37">
        <f>MAX(F12:F64)</f>
        <v>34</v>
      </c>
      <c r="G66" s="37">
        <f>MAX(G12:G64)</f>
        <v>77</v>
      </c>
      <c r="J66" s="37">
        <f>MAX(J12:J64)</f>
        <v>9</v>
      </c>
      <c r="K66" s="37">
        <f>MAX(K12:K64)</f>
        <v>18</v>
      </c>
      <c r="L66" s="37">
        <f>MAX(L12:L64)</f>
        <v>9</v>
      </c>
    </row>
  </sheetData>
  <mergeCells count="7">
    <mergeCell ref="A5:D5"/>
    <mergeCell ref="A6:D6"/>
    <mergeCell ref="A4:D4"/>
    <mergeCell ref="A1:L1"/>
    <mergeCell ref="A7:D7"/>
    <mergeCell ref="A9:L9"/>
    <mergeCell ref="A3:F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2026-07-19T18:03:53Z</dcterms:created>
  <dcterms:modified xsi:type="dcterms:W3CDTF">2026-07-19T18:03:53Z</dcterms:modified>
</cp:coreProperties>
</file>