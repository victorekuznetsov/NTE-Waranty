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и" sheetId="2" state="visible" r:id="rId2"/>
    <sheet xmlns:r="http://schemas.openxmlformats.org/officeDocument/2006/relationships" name="Парк (SAP)" sheetId="3" state="visible" r:id="rId3"/>
    <sheet xmlns:r="http://schemas.openxmlformats.org/officeDocument/2006/relationships" name="Гарантия (машины)" sheetId="4" state="visible" r:id="rId4"/>
    <sheet xmlns:r="http://schemas.openxmlformats.org/officeDocument/2006/relationships" name="ОФ - расчёт по месяцам" sheetId="5" state="visible" r:id="rId5"/>
    <sheet xmlns:r="http://schemas.openxmlformats.org/officeDocument/2006/relationships" name="Потребность (компоненты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ММ.ГГГГ"/>
    <numFmt numFmtId="165" formatCode="DD.MM.YYYY"/>
    <numFmt numFmtId="166" formatCode="MMM YYYY"/>
    <numFmt numFmtId="167" formatCode="mm.yyyy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9"/>
    </font>
    <font>
      <name val="Arial"/>
      <b val="1"/>
      <sz val="10"/>
    </font>
    <font>
      <name val="Arial"/>
      <sz val="9"/>
    </font>
    <font>
      <name val="Arial"/>
      <b val="1"/>
      <color rgb="000000FF"/>
      <sz val="10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2E75B6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E1D5E7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C55A11"/>
      </patternFill>
    </fill>
    <fill>
      <patternFill patternType="solid">
        <fgColor rgb="00BF8F00"/>
      </patternFill>
    </fill>
    <fill>
      <patternFill patternType="solid">
        <fgColor rgb="00FFE699"/>
      </patternFill>
    </fill>
    <fill>
      <patternFill patternType="solid">
        <fgColor rgb="008EA9DB"/>
      </patternFill>
    </fill>
    <fill>
      <patternFill patternType="solid">
        <f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7" fillId="6" borderId="1" pivotButton="0" quotePrefix="0" xfId="0"/>
    <xf numFmtId="0" fontId="7" fillId="0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3" fillId="10" borderId="1" pivotButton="0" quotePrefix="0" xfId="0"/>
    <xf numFmtId="0" fontId="0" fillId="10" borderId="1" pivotButton="0" quotePrefix="0" xfId="0"/>
    <xf numFmtId="0" fontId="3" fillId="0" borderId="0" pivotButton="0" quotePrefix="0" xfId="0"/>
    <xf numFmtId="164" fontId="5" fillId="4" borderId="1" applyAlignment="1" pivotButton="0" quotePrefix="0" xfId="0">
      <alignment horizontal="center" vertical="center" wrapText="1"/>
    </xf>
    <xf numFmtId="0" fontId="4" fillId="6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7" borderId="1" pivotButton="0" quotePrefix="0" xfId="0"/>
    <xf numFmtId="0" fontId="4" fillId="8" borderId="1" pivotButton="0" quotePrefix="0" xfId="0"/>
    <xf numFmtId="0" fontId="4" fillId="9" borderId="1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5" fontId="4" fillId="0" borderId="1" pivotButton="0" quotePrefix="0" xfId="0"/>
    <xf numFmtId="0" fontId="3" fillId="10" borderId="1" applyAlignment="1" pivotButton="0" quotePrefix="0" xfId="0">
      <alignment horizontal="right" vertical="center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10" borderId="0" pivotButton="0" quotePrefix="0" xfId="0"/>
    <xf numFmtId="0" fontId="3" fillId="14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5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0" fillId="0" borderId="8" pivotButton="0" quotePrefix="0" xfId="0"/>
    <xf numFmtId="167" fontId="7" fillId="0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 гарантии: Красноярск — по моделям</a:t>
            </a:r>
          </a:p>
        </rich>
      </tx>
    </title>
    <plotArea>
      <lineChart>
        <grouping val="standard"/>
        <ser>
          <idx val="0"/>
          <order val="0"/>
          <tx>
            <strRef>
              <f>'Гарантия (машины)'!C4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(машины)'!$C$5:$C$93</f>
            </numRef>
          </val>
        </ser>
        <ser>
          <idx val="1"/>
          <order val="1"/>
          <tx>
            <strRef>
              <f>'Гарантия (машины)'!D4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(машины)'!$D$5:$D$93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Машин,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 гарантии: Сухой Лог — по моделям</a:t>
            </a:r>
          </a:p>
        </rich>
      </tx>
    </title>
    <plotArea>
      <lineChart>
        <grouping val="standard"/>
        <ser>
          <idx val="0"/>
          <order val="0"/>
          <tx>
            <strRef>
              <f>'Гарантия (машины)'!E4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(машины)'!$E$5:$E$93</f>
            </numRef>
          </val>
        </ser>
        <ser>
          <idx val="1"/>
          <order val="1"/>
          <tx>
            <strRef>
              <f>'Гарантия (машины)'!F4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(машины)'!$F$5:$F$93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Машин,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 гарантии: Магадан — по моделям</a:t>
            </a:r>
          </a:p>
        </rich>
      </tx>
    </title>
    <plotArea>
      <lineChart>
        <grouping val="standard"/>
        <ser>
          <idx val="0"/>
          <order val="0"/>
          <tx>
            <strRef>
              <f>'Гарантия (машины)'!G4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(машины)'!$G$5:$G$93</f>
            </numRef>
          </val>
        </ser>
        <ser>
          <idx val="1"/>
          <order val="1"/>
          <tx>
            <strRef>
              <f>'Гарантия (машины)'!H4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(машины)'!$H$5:$H$93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Машин,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На гарантии: Алдан — по моделям</a:t>
            </a:r>
          </a:p>
        </rich>
      </tx>
    </title>
    <plotArea>
      <lineChart>
        <grouping val="standard"/>
        <ser>
          <idx val="0"/>
          <order val="0"/>
          <tx>
            <strRef>
              <f>'Гарантия (машины)'!I4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'Гарантия (машины)'!$A$5:$A$93</f>
            </numRef>
          </cat>
          <val>
            <numRef>
              <f>'Гарантия (машины)'!$I$5:$I$93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Машин,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Красноярск — NTE240: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(компоненты)'!C13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(компоненты)'!$C$14:$C$102</f>
            </numRef>
          </val>
        </ser>
        <ser>
          <idx val="1"/>
          <order val="1"/>
          <tx>
            <strRef>
              <f>'Потребность (компоненты)'!D13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(компоненты)'!$D$14:$D$102</f>
            </numRef>
          </val>
        </ser>
        <ser>
          <idx val="2"/>
          <order val="2"/>
          <tx>
            <strRef>
              <f>'Потребность (компоненты)'!E13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(компоненты)'!$E$14:$E$102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Красноярск — TR100: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(компоненты)'!F13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(компоненты)'!$F$14:$F$102</f>
            </numRef>
          </val>
        </ser>
        <ser>
          <idx val="1"/>
          <order val="1"/>
          <tx>
            <strRef>
              <f>'Потребность (компоненты)'!G13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(компоненты)'!$G$14:$G$102</f>
            </numRef>
          </val>
        </ser>
        <ser>
          <idx val="2"/>
          <order val="2"/>
          <tx>
            <strRef>
              <f>'Потребность (компоненты)'!H13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(компоненты)'!$H$14:$H$102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Сухой Лог — NTE240: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(компоненты)'!I13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(компоненты)'!$I$14:$I$102</f>
            </numRef>
          </val>
        </ser>
        <ser>
          <idx val="1"/>
          <order val="1"/>
          <tx>
            <strRef>
              <f>'Потребность (компоненты)'!J13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(компоненты)'!$J$14:$J$102</f>
            </numRef>
          </val>
        </ser>
        <ser>
          <idx val="2"/>
          <order val="2"/>
          <tx>
            <strRef>
              <f>'Потребность (компоненты)'!K13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(компоненты)'!$K$14:$K$102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Сухой Лог — TR100: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(компоненты)'!L13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(компоненты)'!$L$14:$L$102</f>
            </numRef>
          </val>
        </ser>
        <ser>
          <idx val="1"/>
          <order val="1"/>
          <tx>
            <strRef>
              <f>'Потребность (компоненты)'!M13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(компоненты)'!$M$14:$M$102</f>
            </numRef>
          </val>
        </ser>
        <ser>
          <idx val="2"/>
          <order val="2"/>
          <tx>
            <strRef>
              <f>'Потребность (компоненты)'!N13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(компоненты)'!$N$14:$N$102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Магадан — NTE200: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(компоненты)'!O13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(компоненты)'!$O$14:$O$102</f>
            </numRef>
          </val>
        </ser>
        <ser>
          <idx val="1"/>
          <order val="1"/>
          <tx>
            <strRef>
              <f>'Потребность (компоненты)'!P13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(компоненты)'!$P$14:$P$102</f>
            </numRef>
          </val>
        </ser>
        <ser>
          <idx val="2"/>
          <order val="2"/>
          <tx>
            <strRef>
              <f>'Потребность (компоненты)'!Q13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(компоненты)'!$Q$14:$Q$102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Магадан — TR100: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(компоненты)'!R13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(компоненты)'!$R$14:$R$102</f>
            </numRef>
          </val>
        </ser>
        <ser>
          <idx val="1"/>
          <order val="1"/>
          <tx>
            <strRef>
              <f>'Потребность (компоненты)'!S13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(компоненты)'!$S$14:$S$102</f>
            </numRef>
          </val>
        </ser>
        <ser>
          <idx val="2"/>
          <order val="2"/>
          <tx>
            <strRef>
              <f>'Потребность (компоненты)'!T13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(компоненты)'!$T$14:$T$102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Алдан — TR100: потребность в компонентах</a:t>
            </a:r>
          </a:p>
        </rich>
      </tx>
    </title>
    <plotArea>
      <lineChart>
        <grouping val="standard"/>
        <ser>
          <idx val="0"/>
          <order val="0"/>
          <tx>
            <strRef>
              <f>'Потребность (компоненты)'!U13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(компоненты)'!$U$14:$U$102</f>
            </numRef>
          </val>
        </ser>
        <ser>
          <idx val="1"/>
          <order val="1"/>
          <tx>
            <strRef>
              <f>'Потребность (компоненты)'!V13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(компоненты)'!$V$14:$V$102</f>
            </numRef>
          </val>
        </ser>
        <ser>
          <idx val="2"/>
          <order val="2"/>
          <tx>
            <strRef>
              <f>'Потребность (компоненты)'!W13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'Потребность (компоненты)'!$A$14:$A$102</f>
            </numRef>
          </cat>
          <val>
            <numRef>
              <f>'Потребность (компоненты)'!$W$14:$W$102</f>
            </numRef>
          </val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Компонентов,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Машин в эксплуатации, на гарантии, сошло с гарантии —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'ОФ - расчёт по месяцам'!C7</f>
            </strRef>
          </tx>
          <spPr>
            <a:ln xmlns:a="http://schemas.openxmlformats.org/drawingml/2006/main" w="18000">
              <a:solidFill>
                <a:srgbClr val="2E75B6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solidFill>
                  <a:srgbClr val="2E75B6"/>
                </a:solidFill>
                <a:prstDash val="solid"/>
              </a:ln>
            </spPr>
          </marker>
          <cat>
            <numRef>
              <f>'ОФ - расчёт по месяцам'!$A$8:$A$103</f>
            </numRef>
          </cat>
          <val>
            <numRef>
              <f>'ОФ - расчёт по месяцам'!$C$8:$C$103</f>
            </numRef>
          </val>
          <smooth val="0"/>
        </ser>
        <ser>
          <idx val="1"/>
          <order val="1"/>
          <tx>
            <strRef>
              <f>'ОФ - расчёт по месяцам'!D7</f>
            </strRef>
          </tx>
          <spPr>
            <a:ln xmlns:a="http://schemas.openxmlformats.org/drawingml/2006/main" w="18000">
              <a:solidFill>
                <a:srgbClr val="1F4E78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1F4E78"/>
              </a:solidFill>
              <a:ln xmlns:a="http://schemas.openxmlformats.org/drawingml/2006/main">
                <a:solidFill>
                  <a:srgbClr val="1F4E78"/>
                </a:solidFill>
                <a:prstDash val="solid"/>
              </a:ln>
            </spPr>
          </marker>
          <cat>
            <numRef>
              <f>'ОФ - расчёт по месяцам'!$A$8:$A$103</f>
            </numRef>
          </cat>
          <val>
            <numRef>
              <f>'ОФ - расчёт по месяцам'!$D$8:$D$103</f>
            </numRef>
          </val>
          <smooth val="0"/>
        </ser>
        <ser>
          <idx val="2"/>
          <order val="2"/>
          <tx>
            <strRef>
              <f>'ОФ - расчёт по месяцам'!E7</f>
            </strRef>
          </tx>
          <spPr>
            <a:ln xmlns:a="http://schemas.openxmlformats.org/drawingml/2006/main" w="18000">
              <a:solidFill>
                <a:srgbClr val="C55A11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C55A11"/>
              </a:solidFill>
              <a:ln xmlns:a="http://schemas.openxmlformats.org/drawingml/2006/main">
                <a:solidFill>
                  <a:srgbClr val="C55A11"/>
                </a:solidFill>
                <a:prstDash val="solid"/>
              </a:ln>
            </spPr>
          </marker>
          <cat>
            <numRef>
              <f>'ОФ - расчёт по месяцам'!$A$8:$A$103</f>
            </numRef>
          </cat>
          <val>
            <numRef>
              <f>'ОФ - расчёт по месяцам'!$E$8:$E$103</f>
            </numRef>
          </val>
          <smooth val="0"/>
        </ser>
        <ser>
          <idx val="3"/>
          <order val="3"/>
          <tx>
            <strRef>
              <f>'ОФ - расчёт по месяцам'!F7</f>
            </strRef>
          </tx>
          <spPr>
            <a:ln xmlns:a="http://schemas.openxmlformats.org/drawingml/2006/main" w="18000">
              <a:solidFill>
                <a:srgbClr val="7030A0"/>
              </a:solidFill>
              <a:prstDash val="solid"/>
            </a:ln>
          </spPr>
          <marker>
            <symbol val="circle"/>
            <size val="3"/>
            <spPr>
              <a:solidFill xmlns:a="http://schemas.openxmlformats.org/drawingml/2006/main">
                <a:srgbClr val="7030A0"/>
              </a:solidFill>
              <a:ln xmlns:a="http://schemas.openxmlformats.org/drawingml/2006/main">
                <a:solidFill>
                  <a:srgbClr val="7030A0"/>
                </a:solidFill>
                <a:prstDash val="solid"/>
              </a:ln>
            </spPr>
          </marker>
          <cat>
            <numRef>
              <f>'ОФ - расчёт по месяцам'!$A$8:$A$103</f>
            </numRef>
          </cat>
          <val>
            <numRef>
              <f>'ОФ - расчёт по месяцам'!$F$8:$F$103</f>
            </numRef>
          </val>
          <smooth val="0"/>
        </ser>
        <dLbls>
          <numFmt formatCode="0"/>
          <dLblPos val="t"/>
          <showVal val="1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Машин, шт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19</row>
      <rowOff>0</rowOff>
    </from>
    <ext cx="540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19</row>
      <rowOff>0</rowOff>
    </from>
    <ext cx="540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37</row>
      <rowOff>0</rowOff>
    </from>
    <ext cx="5400000" cy="288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37</row>
      <rowOff>0</rowOff>
    </from>
    <ext cx="54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54</row>
      <rowOff>0</rowOff>
    </from>
    <ext cx="540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54</row>
      <rowOff>0</rowOff>
    </from>
    <ext cx="5400000" cy="288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71</row>
      <rowOff>0</rowOff>
    </from>
    <ext cx="5400000" cy="288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71</row>
      <rowOff>0</rowOff>
    </from>
    <ext cx="5400000" cy="288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88</row>
      <rowOff>0</rowOff>
    </from>
    <ext cx="5400000" cy="288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106</row>
      <rowOff>0</rowOff>
    </from>
    <ext cx="1080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0" customWidth="1" min="3" max="3"/>
    <col width="10" customWidth="1" min="4" max="4"/>
    <col width="14" customWidth="1" min="5" max="5"/>
    <col width="10" customWidth="1" min="6" max="6"/>
    <col width="10" customWidth="1" min="7" max="7"/>
    <col width="10" customWidth="1" min="8" max="8"/>
  </cols>
  <sheetData>
    <row r="1" ht="24" customHeight="1">
      <c r="A1" s="1" t="inlineStr">
        <is>
          <t>СВОДКА: ОБОРОТНЫЙ ФОНД ГАРАНТИЙНЫХ КОМПОНЕНТОВ ПО ПЛОЩАДКАМ (парк по SAP)</t>
        </is>
      </c>
    </row>
    <row r="3">
      <c r="A3" s="2" t="inlineStr">
        <is>
          <t>Парк по SAP (машин)</t>
        </is>
      </c>
    </row>
    <row r="4">
      <c r="A4" s="3" t="inlineStr">
        <is>
          <t>Площадка</t>
        </is>
      </c>
      <c r="B4" s="3" t="inlineStr">
        <is>
          <t>Модель</t>
        </is>
      </c>
      <c r="C4" s="3" t="inlineStr">
        <is>
          <t>Группа</t>
        </is>
      </c>
      <c r="D4" s="3" t="inlineStr">
        <is>
          <t>Всего машин</t>
        </is>
      </c>
      <c r="E4" s="3" t="inlineStr">
        <is>
          <t>в т.ч. план</t>
        </is>
      </c>
    </row>
    <row r="5">
      <c r="A5" s="4" t="inlineStr">
        <is>
          <t>Красноярск</t>
        </is>
      </c>
      <c r="B5" s="5" t="inlineStr">
        <is>
          <t>NTE240</t>
        </is>
      </c>
      <c r="C5" s="5" t="inlineStr">
        <is>
          <t>NTE</t>
        </is>
      </c>
      <c r="D5" s="5">
        <f>COUNTIFS('Парк (SAP)'!$B$11:$B$346,"Полюс Красноярск",'Парк (SAP)'!$C$11:$C$346,"NTE240")</f>
        <v>122</v>
      </c>
      <c r="E5" s="5" t="n">
        <v>39</v>
      </c>
    </row>
    <row r="6">
      <c r="A6" s="4" t="inlineStr">
        <is>
          <t>Красноярск</t>
        </is>
      </c>
      <c r="B6" s="5" t="inlineStr">
        <is>
          <t>TR100</t>
        </is>
      </c>
      <c r="C6" s="5" t="inlineStr">
        <is>
          <t>TR100</t>
        </is>
      </c>
      <c r="D6" s="5">
        <f>COUNTIFS('Парк (SAP)'!$B$11:$B$346,"Полюс Красноярск",'Парк (SAP)'!$C$11:$C$346,"TR100")</f>
        <v>22</v>
      </c>
      <c r="E6" s="5" t="n">
        <v>18</v>
      </c>
    </row>
    <row r="7">
      <c r="A7" s="6" t="inlineStr">
        <is>
          <t>Сухой Лог</t>
        </is>
      </c>
      <c r="B7" s="5" t="inlineStr">
        <is>
          <t>NTE240</t>
        </is>
      </c>
      <c r="C7" s="5" t="inlineStr">
        <is>
          <t>NTE</t>
        </is>
      </c>
      <c r="D7" s="5">
        <f>COUNTIFS('Парк (SAP)'!$B$11:$B$346,"Полюс Сухой Лог",'Парк (SAP)'!$C$11:$C$346,"NTE240")</f>
        <v>85</v>
      </c>
      <c r="E7" s="5" t="n">
        <v>85</v>
      </c>
    </row>
    <row r="8">
      <c r="A8" s="6" t="inlineStr">
        <is>
          <t>Сухой Лог</t>
        </is>
      </c>
      <c r="B8" s="5" t="inlineStr">
        <is>
          <t>TR100</t>
        </is>
      </c>
      <c r="C8" s="5" t="inlineStr">
        <is>
          <t>TR100</t>
        </is>
      </c>
      <c r="D8" s="5">
        <f>COUNTIFS('Парк (SAP)'!$B$11:$B$346,"Полюс Сухой Лог",'Парк (SAP)'!$C$11:$C$346,"TR100")</f>
        <v>9</v>
      </c>
      <c r="E8" s="5" t="n">
        <v>0</v>
      </c>
    </row>
    <row r="9">
      <c r="A9" s="7" t="inlineStr">
        <is>
          <t>Магадан</t>
        </is>
      </c>
      <c r="B9" s="5" t="inlineStr">
        <is>
          <t>NTE200</t>
        </is>
      </c>
      <c r="C9" s="5" t="inlineStr">
        <is>
          <t>NTE</t>
        </is>
      </c>
      <c r="D9" s="5">
        <f>COUNTIFS('Парк (SAP)'!$B$11:$B$346,"Полюс Магадан",'Парк (SAP)'!$C$11:$C$346,"NTE200")</f>
        <v>55</v>
      </c>
      <c r="E9" s="5" t="n">
        <v>8</v>
      </c>
    </row>
    <row r="10">
      <c r="A10" s="7" t="inlineStr">
        <is>
          <t>Магадан</t>
        </is>
      </c>
      <c r="B10" s="5" t="inlineStr">
        <is>
          <t>TR100</t>
        </is>
      </c>
      <c r="C10" s="5" t="inlineStr">
        <is>
          <t>TR100</t>
        </is>
      </c>
      <c r="D10" s="5">
        <f>COUNTIFS('Парк (SAP)'!$B$11:$B$346,"Полюс Магадан",'Парк (SAP)'!$C$11:$C$346,"TR100")</f>
        <v>7</v>
      </c>
      <c r="E10" s="5" t="n">
        <v>4</v>
      </c>
    </row>
    <row r="11">
      <c r="A11" s="8" t="inlineStr">
        <is>
          <t>Алдан</t>
        </is>
      </c>
      <c r="B11" s="5" t="inlineStr">
        <is>
          <t>TR100</t>
        </is>
      </c>
      <c r="C11" s="5" t="inlineStr">
        <is>
          <t>TR100</t>
        </is>
      </c>
      <c r="D11" s="5">
        <f>COUNTIFS('Парк (SAP)'!$B$11:$B$346,"Полюс Алдан",'Парк (SAP)'!$C$11:$C$346,"TR100")</f>
        <v>36</v>
      </c>
      <c r="E11" s="5" t="n">
        <v>13</v>
      </c>
    </row>
    <row r="12">
      <c r="A12" s="9" t="inlineStr">
        <is>
          <t>ИТОГО</t>
        </is>
      </c>
      <c r="B12" s="37" t="n"/>
      <c r="C12" s="38" t="n"/>
      <c r="D12" s="9">
        <f>'Парк (SAP)'!F347</f>
        <v>336</v>
      </c>
      <c r="E12" s="9">
        <f>SUM(E5:E11)</f>
        <v>167</v>
      </c>
    </row>
    <row r="14">
      <c r="A14" s="11" t="inlineStr">
        <is>
          <t>Расчётный месяц (1-е число)</t>
        </is>
      </c>
      <c r="C14" s="39">
        <f>DATE(YEAR(TODAY()),MONTH(TODAY()),1)</f>
        <v>46204</v>
      </c>
    </row>
    <row r="16">
      <c r="A16" s="2" t="inlineStr">
        <is>
          <t>Потребность в компонентах по площадкам</t>
        </is>
      </c>
    </row>
    <row r="17">
      <c r="A17" s="3" t="inlineStr">
        <is>
          <t>Площадка</t>
        </is>
      </c>
      <c r="B17" s="3" t="inlineStr">
        <is>
          <t>Модель</t>
        </is>
      </c>
      <c r="C17" s="3" t="inlineStr">
        <is>
          <t>Компонент</t>
        </is>
      </c>
      <c r="D17" s="3" t="inlineStr">
        <is>
          <t>Норма/10</t>
        </is>
      </c>
      <c r="E17" s="3" t="inlineStr">
        <is>
          <t>Тек. месяц, шт</t>
        </is>
      </c>
      <c r="F17" s="3" t="inlineStr">
        <is>
          <t>Пик, шт</t>
        </is>
      </c>
    </row>
    <row r="18">
      <c r="A18" s="13" t="inlineStr">
        <is>
          <t>Красноярск</t>
        </is>
      </c>
      <c r="B18" s="14" t="inlineStr">
        <is>
          <t>NTE240</t>
        </is>
      </c>
      <c r="C18" s="14" t="inlineStr">
        <is>
          <t>ДВС</t>
        </is>
      </c>
      <c r="D18" s="14">
        <f>$D$5</f>
        <v>1</v>
      </c>
      <c r="E18" s="15">
        <f>INDEX('Потребность (компоненты)'!$C$14:$C$102,MATCH($C$14,'Потребность (компоненты)'!$A$14:$A$102,0))</f>
        <v>6</v>
      </c>
      <c r="F18" s="16">
        <f>'Потребность (компоненты)'!C104</f>
        <v>6</v>
      </c>
    </row>
    <row r="19">
      <c r="A19" s="13" t="inlineStr">
        <is>
          <t>Красноярск</t>
        </is>
      </c>
      <c r="B19" s="14" t="inlineStr">
        <is>
          <t>NTE240</t>
        </is>
      </c>
      <c r="C19" s="14" t="inlineStr">
        <is>
          <t>Мотор-колесо</t>
        </is>
      </c>
      <c r="D19" s="14">
        <f>$D$6</f>
        <v>2</v>
      </c>
      <c r="E19" s="15">
        <f>INDEX('Потребность (компоненты)'!$D$14:$D$102,MATCH($C$14,'Потребность (компоненты)'!$A$14:$A$102,0))</f>
        <v>12</v>
      </c>
      <c r="F19" s="16">
        <f>'Потребность (компоненты)'!D104</f>
        <v>12</v>
      </c>
    </row>
    <row r="20">
      <c r="A20" s="13" t="inlineStr">
        <is>
          <t>Красноярск</t>
        </is>
      </c>
      <c r="B20" s="14" t="inlineStr">
        <is>
          <t>NTE240</t>
        </is>
      </c>
      <c r="C20" s="14" t="inlineStr">
        <is>
          <t>Силовой генератор</t>
        </is>
      </c>
      <c r="D20" s="14">
        <f>$D$7</f>
        <v>1</v>
      </c>
      <c r="E20" s="15">
        <f>INDEX('Потребность (компоненты)'!$E$14:$E$102,MATCH($C$14,'Потребность (компоненты)'!$A$14:$A$102,0))</f>
        <v>6</v>
      </c>
      <c r="F20" s="16">
        <f>'Потребность (компоненты)'!E104</f>
        <v>6</v>
      </c>
    </row>
    <row r="21">
      <c r="A21" s="13" t="inlineStr">
        <is>
          <t>Красноярск</t>
        </is>
      </c>
      <c r="B21" s="14" t="inlineStr">
        <is>
          <t>TR100</t>
        </is>
      </c>
      <c r="C21" s="14" t="inlineStr">
        <is>
          <t>ДВС</t>
        </is>
      </c>
      <c r="D21" s="14">
        <f>$D$8</f>
        <v>1</v>
      </c>
      <c r="E21" s="15">
        <f>INDEX('Потребность (компоненты)'!$F$14:$F$102,MATCH($C$14,'Потребность (компоненты)'!$A$14:$A$102,0))</f>
        <v>2</v>
      </c>
      <c r="F21" s="16">
        <f>'Потребность (компоненты)'!F104</f>
        <v>3</v>
      </c>
    </row>
    <row r="22">
      <c r="A22" s="13" t="inlineStr">
        <is>
          <t>Красноярск</t>
        </is>
      </c>
      <c r="B22" s="14" t="inlineStr">
        <is>
          <t>TR100</t>
        </is>
      </c>
      <c r="C22" s="14" t="inlineStr">
        <is>
          <t>КПП</t>
        </is>
      </c>
      <c r="D22" s="14">
        <f>$D$9</f>
        <v>1</v>
      </c>
      <c r="E22" s="15">
        <f>INDEX('Потребность (компоненты)'!$G$14:$G$102,MATCH($C$14,'Потребность (компоненты)'!$A$14:$A$102,0))</f>
        <v>2</v>
      </c>
      <c r="F22" s="16">
        <f>'Потребность (компоненты)'!G104</f>
        <v>3</v>
      </c>
    </row>
    <row r="23">
      <c r="A23" s="13" t="inlineStr">
        <is>
          <t>Красноярск</t>
        </is>
      </c>
      <c r="B23" s="14" t="inlineStr">
        <is>
          <t>TR100</t>
        </is>
      </c>
      <c r="C23" s="14" t="inlineStr">
        <is>
          <t>Бортовой редуктор</t>
        </is>
      </c>
      <c r="D23" s="14">
        <f>$D$10</f>
        <v>2</v>
      </c>
      <c r="E23" s="15">
        <f>INDEX('Потребность (компоненты)'!$H$14:$H$102,MATCH($C$14,'Потребность (компоненты)'!$A$14:$A$102,0))</f>
        <v>4</v>
      </c>
      <c r="F23" s="16">
        <f>'Потребность (компоненты)'!H104</f>
        <v>6</v>
      </c>
    </row>
    <row r="24">
      <c r="A24" s="17" t="inlineStr">
        <is>
          <t>Сухой Лог</t>
        </is>
      </c>
      <c r="B24" s="14" t="inlineStr">
        <is>
          <t>NTE240</t>
        </is>
      </c>
      <c r="C24" s="14" t="inlineStr">
        <is>
          <t>ДВС</t>
        </is>
      </c>
      <c r="D24" s="14">
        <f>$D$5</f>
        <v>1</v>
      </c>
      <c r="E24" s="15">
        <f>INDEX('Потребность (компоненты)'!$I$14:$I$102,MATCH($C$14,'Потребность (компоненты)'!$A$14:$A$102,0))</f>
        <v>0</v>
      </c>
      <c r="F24" s="16">
        <f>'Потребность (компоненты)'!I104</f>
        <v>8</v>
      </c>
    </row>
    <row r="25">
      <c r="A25" s="17" t="inlineStr">
        <is>
          <t>Сухой Лог</t>
        </is>
      </c>
      <c r="B25" s="14" t="inlineStr">
        <is>
          <t>NTE240</t>
        </is>
      </c>
      <c r="C25" s="14" t="inlineStr">
        <is>
          <t>Мотор-колесо</t>
        </is>
      </c>
      <c r="D25" s="14">
        <f>$D$6</f>
        <v>2</v>
      </c>
      <c r="E25" s="15">
        <f>INDEX('Потребность (компоненты)'!$J$14:$J$102,MATCH($C$14,'Потребность (компоненты)'!$A$14:$A$102,0))</f>
        <v>0</v>
      </c>
      <c r="F25" s="16">
        <f>'Потребность (компоненты)'!J104</f>
        <v>16</v>
      </c>
    </row>
    <row r="26">
      <c r="A26" s="17" t="inlineStr">
        <is>
          <t>Сухой Лог</t>
        </is>
      </c>
      <c r="B26" s="14" t="inlineStr">
        <is>
          <t>NTE240</t>
        </is>
      </c>
      <c r="C26" s="14" t="inlineStr">
        <is>
          <t>Силовой генератор</t>
        </is>
      </c>
      <c r="D26" s="14">
        <f>$D$7</f>
        <v>1</v>
      </c>
      <c r="E26" s="15">
        <f>INDEX('Потребность (компоненты)'!$K$14:$K$102,MATCH($C$14,'Потребность (компоненты)'!$A$14:$A$102,0))</f>
        <v>0</v>
      </c>
      <c r="F26" s="16">
        <f>'Потребность (компоненты)'!K104</f>
        <v>8</v>
      </c>
    </row>
    <row r="27">
      <c r="A27" s="17" t="inlineStr">
        <is>
          <t>Сухой Лог</t>
        </is>
      </c>
      <c r="B27" s="14" t="inlineStr">
        <is>
          <t>TR100</t>
        </is>
      </c>
      <c r="C27" s="14" t="inlineStr">
        <is>
          <t>ДВС</t>
        </is>
      </c>
      <c r="D27" s="14">
        <f>$D$8</f>
        <v>1</v>
      </c>
      <c r="E27" s="15">
        <f>INDEX('Потребность (компоненты)'!$L$14:$L$102,MATCH($C$14,'Потребность (компоненты)'!$A$14:$A$102,0))</f>
        <v>1</v>
      </c>
      <c r="F27" s="16">
        <f>'Потребность (компоненты)'!L104</f>
        <v>1</v>
      </c>
    </row>
    <row r="28">
      <c r="A28" s="17" t="inlineStr">
        <is>
          <t>Сухой Лог</t>
        </is>
      </c>
      <c r="B28" s="14" t="inlineStr">
        <is>
          <t>TR100</t>
        </is>
      </c>
      <c r="C28" s="14" t="inlineStr">
        <is>
          <t>КПП</t>
        </is>
      </c>
      <c r="D28" s="14">
        <f>$D$9</f>
        <v>1</v>
      </c>
      <c r="E28" s="15">
        <f>INDEX('Потребность (компоненты)'!$M$14:$M$102,MATCH($C$14,'Потребность (компоненты)'!$A$14:$A$102,0))</f>
        <v>1</v>
      </c>
      <c r="F28" s="16">
        <f>'Потребность (компоненты)'!M104</f>
        <v>1</v>
      </c>
    </row>
    <row r="29">
      <c r="A29" s="17" t="inlineStr">
        <is>
          <t>Сухой Лог</t>
        </is>
      </c>
      <c r="B29" s="14" t="inlineStr">
        <is>
          <t>TR100</t>
        </is>
      </c>
      <c r="C29" s="14" t="inlineStr">
        <is>
          <t>Бортовой редуктор</t>
        </is>
      </c>
      <c r="D29" s="14">
        <f>$D$10</f>
        <v>2</v>
      </c>
      <c r="E29" s="15">
        <f>INDEX('Потребность (компоненты)'!$N$14:$N$102,MATCH($C$14,'Потребность (компоненты)'!$A$14:$A$102,0))</f>
        <v>2</v>
      </c>
      <c r="F29" s="16">
        <f>'Потребность (компоненты)'!N104</f>
        <v>2</v>
      </c>
    </row>
    <row r="30">
      <c r="A30" s="18" t="inlineStr">
        <is>
          <t>Магадан</t>
        </is>
      </c>
      <c r="B30" s="14" t="inlineStr">
        <is>
          <t>NTE200</t>
        </is>
      </c>
      <c r="C30" s="14" t="inlineStr">
        <is>
          <t>ДВС</t>
        </is>
      </c>
      <c r="D30" s="14">
        <f>$D$5</f>
        <v>1</v>
      </c>
      <c r="E30" s="15">
        <f>INDEX('Потребность (компоненты)'!$O$14:$O$102,MATCH($C$14,'Потребность (компоненты)'!$A$14:$A$102,0))</f>
        <v>2</v>
      </c>
      <c r="F30" s="16">
        <f>'Потребность (компоненты)'!O104</f>
        <v>4</v>
      </c>
    </row>
    <row r="31">
      <c r="A31" s="18" t="inlineStr">
        <is>
          <t>Магадан</t>
        </is>
      </c>
      <c r="B31" s="14" t="inlineStr">
        <is>
          <t>NTE200</t>
        </is>
      </c>
      <c r="C31" s="14" t="inlineStr">
        <is>
          <t>Мотор-колесо</t>
        </is>
      </c>
      <c r="D31" s="14">
        <f>$D$6</f>
        <v>2</v>
      </c>
      <c r="E31" s="15">
        <f>INDEX('Потребность (компоненты)'!$P$14:$P$102,MATCH($C$14,'Потребность (компоненты)'!$A$14:$A$102,0))</f>
        <v>4</v>
      </c>
      <c r="F31" s="16">
        <f>'Потребность (компоненты)'!P104</f>
        <v>8</v>
      </c>
    </row>
    <row r="32">
      <c r="A32" s="18" t="inlineStr">
        <is>
          <t>Магадан</t>
        </is>
      </c>
      <c r="B32" s="14" t="inlineStr">
        <is>
          <t>NTE200</t>
        </is>
      </c>
      <c r="C32" s="14" t="inlineStr">
        <is>
          <t>Силовой генератор</t>
        </is>
      </c>
      <c r="D32" s="14">
        <f>$D$7</f>
        <v>1</v>
      </c>
      <c r="E32" s="15">
        <f>INDEX('Потребность (компоненты)'!$Q$14:$Q$102,MATCH($C$14,'Потребность (компоненты)'!$A$14:$A$102,0))</f>
        <v>2</v>
      </c>
      <c r="F32" s="16">
        <f>'Потребность (компоненты)'!Q104</f>
        <v>4</v>
      </c>
    </row>
    <row r="33">
      <c r="A33" s="18" t="inlineStr">
        <is>
          <t>Магадан</t>
        </is>
      </c>
      <c r="B33" s="14" t="inlineStr">
        <is>
          <t>TR100</t>
        </is>
      </c>
      <c r="C33" s="14" t="inlineStr">
        <is>
          <t>ДВС</t>
        </is>
      </c>
      <c r="D33" s="14">
        <f>$D$8</f>
        <v>1</v>
      </c>
      <c r="E33" s="15">
        <f>INDEX('Потребность (компоненты)'!$R$14:$R$102,MATCH($C$14,'Потребность (компоненты)'!$A$14:$A$102,0))</f>
        <v>1</v>
      </c>
      <c r="F33" s="16">
        <f>'Потребность (компоненты)'!R104</f>
        <v>1</v>
      </c>
    </row>
    <row r="34">
      <c r="A34" s="18" t="inlineStr">
        <is>
          <t>Магадан</t>
        </is>
      </c>
      <c r="B34" s="14" t="inlineStr">
        <is>
          <t>TR100</t>
        </is>
      </c>
      <c r="C34" s="14" t="inlineStr">
        <is>
          <t>КПП</t>
        </is>
      </c>
      <c r="D34" s="14">
        <f>$D$9</f>
        <v>1</v>
      </c>
      <c r="E34" s="15">
        <f>INDEX('Потребность (компоненты)'!$S$14:$S$102,MATCH($C$14,'Потребность (компоненты)'!$A$14:$A$102,0))</f>
        <v>1</v>
      </c>
      <c r="F34" s="16">
        <f>'Потребность (компоненты)'!S104</f>
        <v>1</v>
      </c>
    </row>
    <row r="35">
      <c r="A35" s="18" t="inlineStr">
        <is>
          <t>Магадан</t>
        </is>
      </c>
      <c r="B35" s="14" t="inlineStr">
        <is>
          <t>TR100</t>
        </is>
      </c>
      <c r="C35" s="14" t="inlineStr">
        <is>
          <t>Бортовой редуктор</t>
        </is>
      </c>
      <c r="D35" s="14">
        <f>$D$10</f>
        <v>2</v>
      </c>
      <c r="E35" s="15">
        <f>INDEX('Потребность (компоненты)'!$T$14:$T$102,MATCH($C$14,'Потребность (компоненты)'!$A$14:$A$102,0))</f>
        <v>2</v>
      </c>
      <c r="F35" s="16">
        <f>'Потребность (компоненты)'!T104</f>
        <v>2</v>
      </c>
    </row>
    <row r="36">
      <c r="A36" s="19" t="inlineStr">
        <is>
          <t>Алдан</t>
        </is>
      </c>
      <c r="B36" s="14" t="inlineStr">
        <is>
          <t>TR100</t>
        </is>
      </c>
      <c r="C36" s="14" t="inlineStr">
        <is>
          <t>ДВС</t>
        </is>
      </c>
      <c r="D36" s="14">
        <f>$D$8</f>
        <v>1</v>
      </c>
      <c r="E36" s="15">
        <f>INDEX('Потребность (компоненты)'!$U$14:$U$102,MATCH($C$14,'Потребность (компоненты)'!$A$14:$A$102,0))</f>
        <v>3</v>
      </c>
      <c r="F36" s="16">
        <f>'Потребность (компоненты)'!U104</f>
        <v>3</v>
      </c>
    </row>
    <row r="37">
      <c r="A37" s="19" t="inlineStr">
        <is>
          <t>Алдан</t>
        </is>
      </c>
      <c r="B37" s="14" t="inlineStr">
        <is>
          <t>TR100</t>
        </is>
      </c>
      <c r="C37" s="14" t="inlineStr">
        <is>
          <t>КПП</t>
        </is>
      </c>
      <c r="D37" s="14">
        <f>$D$9</f>
        <v>1</v>
      </c>
      <c r="E37" s="15">
        <f>INDEX('Потребность (компоненты)'!$V$14:$V$102,MATCH($C$14,'Потребность (компоненты)'!$A$14:$A$102,0))</f>
        <v>3</v>
      </c>
      <c r="F37" s="16">
        <f>'Потребность (компоненты)'!V104</f>
        <v>3</v>
      </c>
    </row>
    <row r="38">
      <c r="A38" s="19" t="inlineStr">
        <is>
          <t>Алдан</t>
        </is>
      </c>
      <c r="B38" s="14" t="inlineStr">
        <is>
          <t>TR100</t>
        </is>
      </c>
      <c r="C38" s="14" t="inlineStr">
        <is>
          <t>Бортовой редуктор</t>
        </is>
      </c>
      <c r="D38" s="14">
        <f>$D$10</f>
        <v>2</v>
      </c>
      <c r="E38" s="15">
        <f>INDEX('Потребность (компоненты)'!$W$14:$W$102,MATCH($C$14,'Потребность (компоненты)'!$A$14:$A$102,0))</f>
        <v>6</v>
      </c>
      <c r="F38" s="16">
        <f>'Потребность (компоненты)'!W104</f>
        <v>6</v>
      </c>
    </row>
  </sheetData>
  <mergeCells count="5">
    <mergeCell ref="A3:H3"/>
    <mergeCell ref="A16:H16"/>
    <mergeCell ref="A14:B14"/>
    <mergeCell ref="A1:H1"/>
    <mergeCell ref="A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 ht="24" customHeight="1">
      <c r="A1" s="1" t="inlineStr">
        <is>
          <t>ГРАФИКИ: МАШИНЫ НА ГАРАНТИИ И ПОТРЕБНОСТЬ В КОМПОНЕНТАХ ПО ПЛОЩАДКАМ И МОДЕЛЯМ</t>
        </is>
      </c>
    </row>
    <row r="2">
      <c r="A2" s="2" t="inlineStr">
        <is>
          <t>Раздел 1. Самосвалы на гарантии — по каждой площадке (линии = модели)</t>
        </is>
      </c>
    </row>
    <row r="37">
      <c r="A37" s="2" t="inlineStr">
        <is>
          <t>Раздел 2. Потребность в оборотных компонентах — по каждой площадке и модели</t>
        </is>
      </c>
    </row>
  </sheetData>
  <mergeCells count="3">
    <mergeCell ref="A37:S37"/>
    <mergeCell ref="A2:S2"/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8" customWidth="1" min="4" max="4"/>
    <col width="18" customWidth="1" min="5" max="5"/>
    <col width="10" customWidth="1" min="6" max="6"/>
    <col width="8" customWidth="1" min="7" max="7"/>
    <col width="14" customWidth="1" min="8" max="8"/>
    <col width="12" customWidth="1" min="9" max="9"/>
    <col width="16" customWidth="1" min="10" max="10"/>
  </cols>
  <sheetData>
    <row r="1" ht="24" customHeight="1">
      <c r="A1" s="1" t="inlineStr">
        <is>
          <t>ПОЛНЫЙ ПАРК КАРЬЕРНЫХ САМОСВАЛОВ NHL ПО ДАННЫМ SAP (NTE + TR100)</t>
        </is>
      </c>
    </row>
    <row r="2" ht="58" customHeight="1">
      <c r="A2" s="20" t="inlineStr">
        <is>
          <t>Источник состава и дат ввода — выгрузка SAP. NTE (NTE240 Красноярск/Сухой Лог, NTE200 Магадан) — электромеханический привод: ДВС, мотор-колёса, силовой генератор. TR100 (Красноярск, Сухой Лог, Магадан, Алдан) — механический привод: ДВС, КПП, бортовые редукторы. В SAP нет даты окончания гарантии — она рассчитывается из даты ввода по сроку гарантии (параметры ниже). Строки без серийного № — плановые вводы.</t>
        </is>
      </c>
    </row>
    <row r="4">
      <c r="A4" s="21" t="inlineStr">
        <is>
          <t>ПАРАМЕТРЫ СРОКА ГАРАНТИИ (жёлтые ячейки — редактируемые)</t>
        </is>
      </c>
    </row>
    <row r="5">
      <c r="A5" s="22" t="inlineStr">
        <is>
          <t>NTE: дата смены срока гарантии (с этой даты — увеличенный срок)</t>
        </is>
      </c>
      <c r="D5" s="23" t="n">
        <v>45934</v>
      </c>
    </row>
    <row r="6">
      <c r="A6" s="22" t="inlineStr">
        <is>
          <t>NTE: срок гарантии до даты смены, мес</t>
        </is>
      </c>
      <c r="D6" s="24" t="n">
        <v>12</v>
      </c>
    </row>
    <row r="7">
      <c r="A7" s="22" t="inlineStr">
        <is>
          <t>NTE: срок гарантии с даты смены, мес</t>
        </is>
      </c>
      <c r="D7" s="24" t="n">
        <v>24</v>
      </c>
    </row>
    <row r="8">
      <c r="A8" s="22" t="inlineStr">
        <is>
          <t>TR100: срок гарантии, мес</t>
        </is>
      </c>
      <c r="D8" s="24" t="n">
        <v>24</v>
      </c>
    </row>
    <row r="10">
      <c r="A10" s="25" t="inlineStr">
        <is>
          <t>№</t>
        </is>
      </c>
      <c r="B10" s="25" t="inlineStr">
        <is>
          <t>Площадка</t>
        </is>
      </c>
      <c r="C10" s="25" t="inlineStr">
        <is>
          <t>Модель</t>
        </is>
      </c>
      <c r="D10" s="25" t="inlineStr">
        <is>
          <t>Группа</t>
        </is>
      </c>
      <c r="E10" s="25" t="inlineStr">
        <is>
          <t>Серийный №</t>
        </is>
      </c>
      <c r="F10" s="25" t="inlineStr">
        <is>
          <t>Гараж. №</t>
        </is>
      </c>
      <c r="G10" s="25" t="inlineStr">
        <is>
          <t>Статус</t>
        </is>
      </c>
      <c r="H10" s="25" t="inlineStr">
        <is>
          <t>Дата ввода</t>
        </is>
      </c>
      <c r="I10" s="25" t="inlineStr">
        <is>
          <t>Срок гар., мес</t>
        </is>
      </c>
      <c r="J10" s="25" t="inlineStr">
        <is>
          <t>Дата оконч. гарантии</t>
        </is>
      </c>
    </row>
    <row r="11">
      <c r="A11" s="14" t="n">
        <v>1</v>
      </c>
      <c r="B11" s="13" t="inlineStr">
        <is>
          <t>Полюс Красноярск</t>
        </is>
      </c>
      <c r="C11" s="14" t="inlineStr">
        <is>
          <t>NTE240</t>
        </is>
      </c>
      <c r="D11" s="14" t="inlineStr">
        <is>
          <t>NTE</t>
        </is>
      </c>
      <c r="E11" s="14" t="inlineStr">
        <is>
          <t>NHLTBABAVPB200021</t>
        </is>
      </c>
      <c r="F11" s="14" t="inlineStr">
        <is>
          <t>201</t>
        </is>
      </c>
      <c r="G11" s="14" t="inlineStr">
        <is>
          <t>факт</t>
        </is>
      </c>
      <c r="H11" s="26" t="n">
        <v>45341</v>
      </c>
      <c r="I11" s="15">
        <f>IF(D11="TR100",$D$8,IF(H11&lt;$D$5,$D$6,$D$7))</f>
        <v>12</v>
      </c>
      <c r="J11" s="26">
        <f>EDATE(H11,I11)</f>
        <v>45707</v>
      </c>
    </row>
    <row r="12">
      <c r="A12" s="14" t="n">
        <v>2</v>
      </c>
      <c r="B12" s="13" t="inlineStr">
        <is>
          <t>Полюс Красноярск</t>
        </is>
      </c>
      <c r="C12" s="14" t="inlineStr">
        <is>
          <t>NTE240</t>
        </is>
      </c>
      <c r="D12" s="14" t="inlineStr">
        <is>
          <t>NTE</t>
        </is>
      </c>
      <c r="E12" s="14" t="inlineStr">
        <is>
          <t>NHLTBABACPB200026</t>
        </is>
      </c>
      <c r="F12" s="14" t="inlineStr">
        <is>
          <t>202</t>
        </is>
      </c>
      <c r="G12" s="14" t="inlineStr">
        <is>
          <t>факт</t>
        </is>
      </c>
      <c r="H12" s="26" t="n">
        <v>45347</v>
      </c>
      <c r="I12" s="15">
        <f>IF(D12="TR100",$D$8,IF(H12&lt;$D$5,$D$6,$D$7))</f>
        <v>12</v>
      </c>
      <c r="J12" s="26">
        <f>EDATE(H12,I12)</f>
        <v>45713</v>
      </c>
    </row>
    <row r="13">
      <c r="A13" s="14" t="n">
        <v>3</v>
      </c>
      <c r="B13" s="13" t="inlineStr">
        <is>
          <t>Полюс Красноярск</t>
        </is>
      </c>
      <c r="C13" s="14" t="inlineStr">
        <is>
          <t>NTE240</t>
        </is>
      </c>
      <c r="D13" s="14" t="inlineStr">
        <is>
          <t>NTE</t>
        </is>
      </c>
      <c r="E13" s="14" t="inlineStr">
        <is>
          <t>NHLTBABACPB200017</t>
        </is>
      </c>
      <c r="F13" s="14" t="inlineStr">
        <is>
          <t>203</t>
        </is>
      </c>
      <c r="G13" s="14" t="inlineStr">
        <is>
          <t>факт</t>
        </is>
      </c>
      <c r="H13" s="26" t="n">
        <v>45355</v>
      </c>
      <c r="I13" s="15">
        <f>IF(D13="TR100",$D$8,IF(H13&lt;$D$5,$D$6,$D$7))</f>
        <v>12</v>
      </c>
      <c r="J13" s="26">
        <f>EDATE(H13,I13)</f>
        <v>45720</v>
      </c>
    </row>
    <row r="14">
      <c r="A14" s="14" t="n">
        <v>4</v>
      </c>
      <c r="B14" s="13" t="inlineStr">
        <is>
          <t>Полюс Красноярск</t>
        </is>
      </c>
      <c r="C14" s="14" t="inlineStr">
        <is>
          <t>NTE240</t>
        </is>
      </c>
      <c r="D14" s="14" t="inlineStr">
        <is>
          <t>NTE</t>
        </is>
      </c>
      <c r="E14" s="14" t="inlineStr">
        <is>
          <t>NHLTBABAAPB200022</t>
        </is>
      </c>
      <c r="F14" s="14" t="inlineStr">
        <is>
          <t>204</t>
        </is>
      </c>
      <c r="G14" s="14" t="inlineStr">
        <is>
          <t>факт</t>
        </is>
      </c>
      <c r="H14" s="26" t="n">
        <v>45362</v>
      </c>
      <c r="I14" s="15">
        <f>IF(D14="TR100",$D$8,IF(H14&lt;$D$5,$D$6,$D$7))</f>
        <v>12</v>
      </c>
      <c r="J14" s="26">
        <f>EDATE(H14,I14)</f>
        <v>45727</v>
      </c>
    </row>
    <row r="15">
      <c r="A15" s="14" t="n">
        <v>5</v>
      </c>
      <c r="B15" s="13" t="inlineStr">
        <is>
          <t>Полюс Красноярск</t>
        </is>
      </c>
      <c r="C15" s="14" t="inlineStr">
        <is>
          <t>NTE240</t>
        </is>
      </c>
      <c r="D15" s="14" t="inlineStr">
        <is>
          <t>NTE</t>
        </is>
      </c>
      <c r="E15" s="14" t="inlineStr">
        <is>
          <t>NHLTBABAKPB200015</t>
        </is>
      </c>
      <c r="F15" s="14" t="inlineStr">
        <is>
          <t>205</t>
        </is>
      </c>
      <c r="G15" s="14" t="inlineStr">
        <is>
          <t>факт</t>
        </is>
      </c>
      <c r="H15" s="26" t="n">
        <v>45369</v>
      </c>
      <c r="I15" s="15">
        <f>IF(D15="TR100",$D$8,IF(H15&lt;$D$5,$D$6,$D$7))</f>
        <v>12</v>
      </c>
      <c r="J15" s="26">
        <f>EDATE(H15,I15)</f>
        <v>45734</v>
      </c>
    </row>
    <row r="16">
      <c r="A16" s="14" t="n">
        <v>6</v>
      </c>
      <c r="B16" s="13" t="inlineStr">
        <is>
          <t>Полюс Красноярск</t>
        </is>
      </c>
      <c r="C16" s="14" t="inlineStr">
        <is>
          <t>NTE240</t>
        </is>
      </c>
      <c r="D16" s="14" t="inlineStr">
        <is>
          <t>NTE</t>
        </is>
      </c>
      <c r="E16" s="14" t="inlineStr">
        <is>
          <t>NHLTBABACPB200020</t>
        </is>
      </c>
      <c r="F16" s="14" t="inlineStr">
        <is>
          <t>206</t>
        </is>
      </c>
      <c r="G16" s="14" t="inlineStr">
        <is>
          <t>факт</t>
        </is>
      </c>
      <c r="H16" s="26" t="n">
        <v>45376</v>
      </c>
      <c r="I16" s="15">
        <f>IF(D16="TR100",$D$8,IF(H16&lt;$D$5,$D$6,$D$7))</f>
        <v>12</v>
      </c>
      <c r="J16" s="26">
        <f>EDATE(H16,I16)</f>
        <v>45741</v>
      </c>
    </row>
    <row r="17">
      <c r="A17" s="14" t="n">
        <v>7</v>
      </c>
      <c r="B17" s="13" t="inlineStr">
        <is>
          <t>Полюс Красноярск</t>
        </is>
      </c>
      <c r="C17" s="14" t="inlineStr">
        <is>
          <t>NTE240</t>
        </is>
      </c>
      <c r="D17" s="14" t="inlineStr">
        <is>
          <t>NTE</t>
        </is>
      </c>
      <c r="E17" s="14" t="inlineStr">
        <is>
          <t>NHLTBABAEPB200025</t>
        </is>
      </c>
      <c r="F17" s="14" t="inlineStr">
        <is>
          <t>208</t>
        </is>
      </c>
      <c r="G17" s="14" t="inlineStr">
        <is>
          <t>факт</t>
        </is>
      </c>
      <c r="H17" s="26" t="n">
        <v>45380</v>
      </c>
      <c r="I17" s="15">
        <f>IF(D17="TR100",$D$8,IF(H17&lt;$D$5,$D$6,$D$7))</f>
        <v>12</v>
      </c>
      <c r="J17" s="26">
        <f>EDATE(H17,I17)</f>
        <v>45745</v>
      </c>
    </row>
    <row r="18">
      <c r="A18" s="14" t="n">
        <v>8</v>
      </c>
      <c r="B18" s="13" t="inlineStr">
        <is>
          <t>Полюс Красноярск</t>
        </is>
      </c>
      <c r="C18" s="14" t="inlineStr">
        <is>
          <t>NTE240</t>
        </is>
      </c>
      <c r="D18" s="14" t="inlineStr">
        <is>
          <t>NTE</t>
        </is>
      </c>
      <c r="E18" s="14" t="inlineStr">
        <is>
          <t>NHLTBABAHPB200024</t>
        </is>
      </c>
      <c r="F18" s="14" t="inlineStr">
        <is>
          <t>209</t>
        </is>
      </c>
      <c r="G18" s="14" t="inlineStr">
        <is>
          <t>факт</t>
        </is>
      </c>
      <c r="H18" s="26" t="n">
        <v>45383</v>
      </c>
      <c r="I18" s="15">
        <f>IF(D18="TR100",$D$8,IF(H18&lt;$D$5,$D$6,$D$7))</f>
        <v>12</v>
      </c>
      <c r="J18" s="26">
        <f>EDATE(H18,I18)</f>
        <v>45748</v>
      </c>
    </row>
    <row r="19">
      <c r="A19" s="14" t="n">
        <v>9</v>
      </c>
      <c r="B19" s="13" t="inlineStr">
        <is>
          <t>Полюс Красноярск</t>
        </is>
      </c>
      <c r="C19" s="14" t="inlineStr">
        <is>
          <t>NTE240</t>
        </is>
      </c>
      <c r="D19" s="14" t="inlineStr">
        <is>
          <t>NTE</t>
        </is>
      </c>
      <c r="E19" s="14" t="inlineStr">
        <is>
          <t>NHLTBABAKPB200032</t>
        </is>
      </c>
      <c r="F19" s="14" t="inlineStr">
        <is>
          <t>207</t>
        </is>
      </c>
      <c r="G19" s="14" t="inlineStr">
        <is>
          <t>факт</t>
        </is>
      </c>
      <c r="H19" s="26" t="n">
        <v>45389</v>
      </c>
      <c r="I19" s="15">
        <f>IF(D19="TR100",$D$8,IF(H19&lt;$D$5,$D$6,$D$7))</f>
        <v>12</v>
      </c>
      <c r="J19" s="26">
        <f>EDATE(H19,I19)</f>
        <v>45754</v>
      </c>
    </row>
    <row r="20">
      <c r="A20" s="14" t="n">
        <v>10</v>
      </c>
      <c r="B20" s="13" t="inlineStr">
        <is>
          <t>Полюс Красноярск</t>
        </is>
      </c>
      <c r="C20" s="14" t="inlineStr">
        <is>
          <t>NTE240</t>
        </is>
      </c>
      <c r="D20" s="14" t="inlineStr">
        <is>
          <t>NTE</t>
        </is>
      </c>
      <c r="E20" s="14" t="inlineStr">
        <is>
          <t>NHLTBABALPB200023</t>
        </is>
      </c>
      <c r="F20" s="14" t="inlineStr">
        <is>
          <t>210</t>
        </is>
      </c>
      <c r="G20" s="14" t="inlineStr">
        <is>
          <t>факт</t>
        </is>
      </c>
      <c r="H20" s="26" t="n">
        <v>45393</v>
      </c>
      <c r="I20" s="15">
        <f>IF(D20="TR100",$D$8,IF(H20&lt;$D$5,$D$6,$D$7))</f>
        <v>12</v>
      </c>
      <c r="J20" s="26">
        <f>EDATE(H20,I20)</f>
        <v>45758</v>
      </c>
    </row>
    <row r="21">
      <c r="A21" s="14" t="n">
        <v>11</v>
      </c>
      <c r="B21" s="13" t="inlineStr">
        <is>
          <t>Полюс Красноярск</t>
        </is>
      </c>
      <c r="C21" s="14" t="inlineStr">
        <is>
          <t>NTE240</t>
        </is>
      </c>
      <c r="D21" s="14" t="inlineStr">
        <is>
          <t>NTE</t>
        </is>
      </c>
      <c r="E21" s="14" t="inlineStr">
        <is>
          <t>NHLTBABAAPB200019</t>
        </is>
      </c>
      <c r="F21" s="14" t="inlineStr">
        <is>
          <t>211</t>
        </is>
      </c>
      <c r="G21" s="14" t="inlineStr">
        <is>
          <t>факт</t>
        </is>
      </c>
      <c r="H21" s="26" t="n">
        <v>45398</v>
      </c>
      <c r="I21" s="15">
        <f>IF(D21="TR100",$D$8,IF(H21&lt;$D$5,$D$6,$D$7))</f>
        <v>12</v>
      </c>
      <c r="J21" s="26">
        <f>EDATE(H21,I21)</f>
        <v>45763</v>
      </c>
    </row>
    <row r="22">
      <c r="A22" s="14" t="n">
        <v>12</v>
      </c>
      <c r="B22" s="13" t="inlineStr">
        <is>
          <t>Полюс Красноярск</t>
        </is>
      </c>
      <c r="C22" s="14" t="inlineStr">
        <is>
          <t>NTE240</t>
        </is>
      </c>
      <c r="D22" s="14" t="inlineStr">
        <is>
          <t>NTE</t>
        </is>
      </c>
      <c r="E22" s="14" t="inlineStr">
        <is>
          <t>NHLTBABATPB200027</t>
        </is>
      </c>
      <c r="F22" s="14" t="inlineStr">
        <is>
          <t>212</t>
        </is>
      </c>
      <c r="G22" s="14" t="inlineStr">
        <is>
          <t>факт</t>
        </is>
      </c>
      <c r="H22" s="26" t="n">
        <v>45412</v>
      </c>
      <c r="I22" s="15">
        <f>IF(D22="TR100",$D$8,IF(H22&lt;$D$5,$D$6,$D$7))</f>
        <v>12</v>
      </c>
      <c r="J22" s="26">
        <f>EDATE(H22,I22)</f>
        <v>45777</v>
      </c>
    </row>
    <row r="23">
      <c r="A23" s="14" t="n">
        <v>13</v>
      </c>
      <c r="B23" s="13" t="inlineStr">
        <is>
          <t>Полюс Красноярск</t>
        </is>
      </c>
      <c r="C23" s="14" t="inlineStr">
        <is>
          <t>NTE240</t>
        </is>
      </c>
      <c r="D23" s="14" t="inlineStr">
        <is>
          <t>NTE</t>
        </is>
      </c>
      <c r="E23" s="14" t="inlineStr">
        <is>
          <t>NHLTBABAPPB200028</t>
        </is>
      </c>
      <c r="F23" s="14" t="inlineStr">
        <is>
          <t>213</t>
        </is>
      </c>
      <c r="G23" s="14" t="inlineStr">
        <is>
          <t>факт</t>
        </is>
      </c>
      <c r="H23" s="26" t="n">
        <v>45416</v>
      </c>
      <c r="I23" s="15">
        <f>IF(D23="TR100",$D$8,IF(H23&lt;$D$5,$D$6,$D$7))</f>
        <v>12</v>
      </c>
      <c r="J23" s="26">
        <f>EDATE(H23,I23)</f>
        <v>45781</v>
      </c>
    </row>
    <row r="24">
      <c r="A24" s="14" t="n">
        <v>14</v>
      </c>
      <c r="B24" s="13" t="inlineStr">
        <is>
          <t>Полюс Красноярск</t>
        </is>
      </c>
      <c r="C24" s="14" t="inlineStr">
        <is>
          <t>NTE240</t>
        </is>
      </c>
      <c r="D24" s="14" t="inlineStr">
        <is>
          <t>NTE</t>
        </is>
      </c>
      <c r="E24" s="14" t="inlineStr">
        <is>
          <t>NHLTBABATPB200030</t>
        </is>
      </c>
      <c r="F24" s="14" t="inlineStr">
        <is>
          <t>214</t>
        </is>
      </c>
      <c r="G24" s="14" t="inlineStr">
        <is>
          <t>факт</t>
        </is>
      </c>
      <c r="H24" s="26" t="n">
        <v>45428</v>
      </c>
      <c r="I24" s="15">
        <f>IF(D24="TR100",$D$8,IF(H24&lt;$D$5,$D$6,$D$7))</f>
        <v>12</v>
      </c>
      <c r="J24" s="26">
        <f>EDATE(H24,I24)</f>
        <v>45793</v>
      </c>
    </row>
    <row r="25">
      <c r="A25" s="14" t="n">
        <v>15</v>
      </c>
      <c r="B25" s="13" t="inlineStr">
        <is>
          <t>Полюс Красноярск</t>
        </is>
      </c>
      <c r="C25" s="14" t="inlineStr">
        <is>
          <t>NTE240</t>
        </is>
      </c>
      <c r="D25" s="14" t="inlineStr">
        <is>
          <t>NTE</t>
        </is>
      </c>
      <c r="E25" s="14" t="inlineStr">
        <is>
          <t>NHLTBABAKPB200029</t>
        </is>
      </c>
      <c r="F25" s="14" t="inlineStr">
        <is>
          <t>215</t>
        </is>
      </c>
      <c r="G25" s="14" t="inlineStr">
        <is>
          <t>факт</t>
        </is>
      </c>
      <c r="H25" s="26" t="n">
        <v>45428</v>
      </c>
      <c r="I25" s="15">
        <f>IF(D25="TR100",$D$8,IF(H25&lt;$D$5,$D$6,$D$7))</f>
        <v>12</v>
      </c>
      <c r="J25" s="26">
        <f>EDATE(H25,I25)</f>
        <v>45793</v>
      </c>
    </row>
    <row r="26">
      <c r="A26" s="14" t="n">
        <v>16</v>
      </c>
      <c r="B26" s="13" t="inlineStr">
        <is>
          <t>Полюс Красноярск</t>
        </is>
      </c>
      <c r="C26" s="14" t="inlineStr">
        <is>
          <t>NTE240</t>
        </is>
      </c>
      <c r="D26" s="14" t="inlineStr">
        <is>
          <t>NTE</t>
        </is>
      </c>
      <c r="E26" s="14" t="inlineStr">
        <is>
          <t>NHLTBABACPB200034</t>
        </is>
      </c>
      <c r="F26" s="14" t="inlineStr">
        <is>
          <t>216</t>
        </is>
      </c>
      <c r="G26" s="14" t="inlineStr">
        <is>
          <t>факт</t>
        </is>
      </c>
      <c r="H26" s="26" t="n">
        <v>45437</v>
      </c>
      <c r="I26" s="15">
        <f>IF(D26="TR100",$D$8,IF(H26&lt;$D$5,$D$6,$D$7))</f>
        <v>12</v>
      </c>
      <c r="J26" s="26">
        <f>EDATE(H26,I26)</f>
        <v>45802</v>
      </c>
    </row>
    <row r="27">
      <c r="A27" s="14" t="n">
        <v>17</v>
      </c>
      <c r="B27" s="13" t="inlineStr">
        <is>
          <t>Полюс Красноярск</t>
        </is>
      </c>
      <c r="C27" s="14" t="inlineStr">
        <is>
          <t>NTE240</t>
        </is>
      </c>
      <c r="D27" s="14" t="inlineStr">
        <is>
          <t>NTE</t>
        </is>
      </c>
      <c r="E27" s="14" t="inlineStr">
        <is>
          <t>NHLTBABAJPB200033</t>
        </is>
      </c>
      <c r="F27" s="14" t="inlineStr">
        <is>
          <t>217</t>
        </is>
      </c>
      <c r="G27" s="14" t="inlineStr">
        <is>
          <t>факт</t>
        </is>
      </c>
      <c r="H27" s="26" t="n">
        <v>45439</v>
      </c>
      <c r="I27" s="15">
        <f>IF(D27="TR100",$D$8,IF(H27&lt;$D$5,$D$6,$D$7))</f>
        <v>12</v>
      </c>
      <c r="J27" s="26">
        <f>EDATE(H27,I27)</f>
        <v>45804</v>
      </c>
    </row>
    <row r="28">
      <c r="A28" s="14" t="n">
        <v>18</v>
      </c>
      <c r="B28" s="13" t="inlineStr">
        <is>
          <t>Полюс Красноярск</t>
        </is>
      </c>
      <c r="C28" s="14" t="inlineStr">
        <is>
          <t>NTE240</t>
        </is>
      </c>
      <c r="D28" s="14" t="inlineStr">
        <is>
          <t>NTE</t>
        </is>
      </c>
      <c r="E28" s="14" t="inlineStr">
        <is>
          <t>NHLTBABAVPB200035</t>
        </is>
      </c>
      <c r="F28" s="14" t="inlineStr">
        <is>
          <t>218</t>
        </is>
      </c>
      <c r="G28" s="14" t="inlineStr">
        <is>
          <t>факт</t>
        </is>
      </c>
      <c r="H28" s="26" t="n">
        <v>45446</v>
      </c>
      <c r="I28" s="15">
        <f>IF(D28="TR100",$D$8,IF(H28&lt;$D$5,$D$6,$D$7))</f>
        <v>12</v>
      </c>
      <c r="J28" s="26">
        <f>EDATE(H28,I28)</f>
        <v>45811</v>
      </c>
    </row>
    <row r="29">
      <c r="A29" s="14" t="n">
        <v>19</v>
      </c>
      <c r="B29" s="13" t="inlineStr">
        <is>
          <t>Полюс Красноярск</t>
        </is>
      </c>
      <c r="C29" s="14" t="inlineStr">
        <is>
          <t>NTE240</t>
        </is>
      </c>
      <c r="D29" s="14" t="inlineStr">
        <is>
          <t>NTE</t>
        </is>
      </c>
      <c r="E29" s="14" t="inlineStr">
        <is>
          <t>NHLTBABALPB200040</t>
        </is>
      </c>
      <c r="F29" s="14" t="inlineStr">
        <is>
          <t>219</t>
        </is>
      </c>
      <c r="G29" s="14" t="inlineStr">
        <is>
          <t>факт</t>
        </is>
      </c>
      <c r="H29" s="26" t="n">
        <v>45453</v>
      </c>
      <c r="I29" s="15">
        <f>IF(D29="TR100",$D$8,IF(H29&lt;$D$5,$D$6,$D$7))</f>
        <v>12</v>
      </c>
      <c r="J29" s="26">
        <f>EDATE(H29,I29)</f>
        <v>45818</v>
      </c>
    </row>
    <row r="30">
      <c r="A30" s="14" t="n">
        <v>20</v>
      </c>
      <c r="B30" s="13" t="inlineStr">
        <is>
          <t>Полюс Красноярск</t>
        </is>
      </c>
      <c r="C30" s="14" t="inlineStr">
        <is>
          <t>NTE240</t>
        </is>
      </c>
      <c r="D30" s="14" t="inlineStr">
        <is>
          <t>NTE</t>
        </is>
      </c>
      <c r="E30" s="14" t="inlineStr">
        <is>
          <t>NHLTBABAVPB200018</t>
        </is>
      </c>
      <c r="F30" s="14" t="inlineStr">
        <is>
          <t>220</t>
        </is>
      </c>
      <c r="G30" s="14" t="inlineStr">
        <is>
          <t>факт</t>
        </is>
      </c>
      <c r="H30" s="26" t="n">
        <v>45463</v>
      </c>
      <c r="I30" s="15">
        <f>IF(D30="TR100",$D$8,IF(H30&lt;$D$5,$D$6,$D$7))</f>
        <v>12</v>
      </c>
      <c r="J30" s="26">
        <f>EDATE(H30,I30)</f>
        <v>45828</v>
      </c>
    </row>
    <row r="31">
      <c r="A31" s="14" t="n">
        <v>21</v>
      </c>
      <c r="B31" s="13" t="inlineStr">
        <is>
          <t>Полюс Красноярск</t>
        </is>
      </c>
      <c r="C31" s="14" t="inlineStr">
        <is>
          <t>NTE240</t>
        </is>
      </c>
      <c r="D31" s="14" t="inlineStr">
        <is>
          <t>NTE</t>
        </is>
      </c>
      <c r="E31" s="14" t="inlineStr">
        <is>
          <t>NHLTBABALPB200037</t>
        </is>
      </c>
      <c r="F31" s="14" t="inlineStr">
        <is>
          <t>221</t>
        </is>
      </c>
      <c r="G31" s="14" t="inlineStr">
        <is>
          <t>факт</t>
        </is>
      </c>
      <c r="H31" s="26" t="n">
        <v>45464</v>
      </c>
      <c r="I31" s="15">
        <f>IF(D31="TR100",$D$8,IF(H31&lt;$D$5,$D$6,$D$7))</f>
        <v>12</v>
      </c>
      <c r="J31" s="26">
        <f>EDATE(H31,I31)</f>
        <v>45829</v>
      </c>
    </row>
    <row r="32">
      <c r="A32" s="14" t="n">
        <v>22</v>
      </c>
      <c r="B32" s="13" t="inlineStr">
        <is>
          <t>Полюс Красноярск</t>
        </is>
      </c>
      <c r="C32" s="14" t="inlineStr">
        <is>
          <t>NTE240</t>
        </is>
      </c>
      <c r="D32" s="14" t="inlineStr">
        <is>
          <t>NTE</t>
        </is>
      </c>
      <c r="E32" s="14" t="inlineStr">
        <is>
          <t>NHLTBABAAPB200036</t>
        </is>
      </c>
      <c r="F32" s="14" t="inlineStr">
        <is>
          <t>222</t>
        </is>
      </c>
      <c r="G32" s="14" t="inlineStr">
        <is>
          <t>факт</t>
        </is>
      </c>
      <c r="H32" s="26" t="n">
        <v>45473</v>
      </c>
      <c r="I32" s="15">
        <f>IF(D32="TR100",$D$8,IF(H32&lt;$D$5,$D$6,$D$7))</f>
        <v>12</v>
      </c>
      <c r="J32" s="26">
        <f>EDATE(H32,I32)</f>
        <v>45838</v>
      </c>
    </row>
    <row r="33">
      <c r="A33" s="14" t="n">
        <v>23</v>
      </c>
      <c r="B33" s="13" t="inlineStr">
        <is>
          <t>Полюс Красноярск</t>
        </is>
      </c>
      <c r="C33" s="14" t="inlineStr">
        <is>
          <t>NTE240</t>
        </is>
      </c>
      <c r="D33" s="14" t="inlineStr">
        <is>
          <t>NTE</t>
        </is>
      </c>
      <c r="E33" s="14" t="inlineStr">
        <is>
          <t>NHLTBABAEPB200039</t>
        </is>
      </c>
      <c r="F33" s="14" t="inlineStr">
        <is>
          <t>223</t>
        </is>
      </c>
      <c r="G33" s="14" t="inlineStr">
        <is>
          <t>факт</t>
        </is>
      </c>
      <c r="H33" s="26" t="n">
        <v>45474</v>
      </c>
      <c r="I33" s="15">
        <f>IF(D33="TR100",$D$8,IF(H33&lt;$D$5,$D$6,$D$7))</f>
        <v>12</v>
      </c>
      <c r="J33" s="26">
        <f>EDATE(H33,I33)</f>
        <v>45839</v>
      </c>
    </row>
    <row r="34">
      <c r="A34" s="14" t="n">
        <v>24</v>
      </c>
      <c r="B34" s="13" t="inlineStr">
        <is>
          <t>Полюс Красноярск</t>
        </is>
      </c>
      <c r="C34" s="14" t="inlineStr">
        <is>
          <t>NTE240</t>
        </is>
      </c>
      <c r="D34" s="14" t="inlineStr">
        <is>
          <t>NTE</t>
        </is>
      </c>
      <c r="E34" s="14" t="inlineStr">
        <is>
          <t>NHLTBABAHPB200038</t>
        </is>
      </c>
      <c r="F34" s="14" t="inlineStr">
        <is>
          <t>224</t>
        </is>
      </c>
      <c r="G34" s="14" t="inlineStr">
        <is>
          <t>факт</t>
        </is>
      </c>
      <c r="H34" s="26" t="n">
        <v>45496</v>
      </c>
      <c r="I34" s="15">
        <f>IF(D34="TR100",$D$8,IF(H34&lt;$D$5,$D$6,$D$7))</f>
        <v>12</v>
      </c>
      <c r="J34" s="26">
        <f>EDATE(H34,I34)</f>
        <v>45861</v>
      </c>
    </row>
    <row r="35">
      <c r="A35" s="14" t="n">
        <v>25</v>
      </c>
      <c r="B35" s="13" t="inlineStr">
        <is>
          <t>Полюс Красноярск</t>
        </is>
      </c>
      <c r="C35" s="14" t="inlineStr">
        <is>
          <t>NTE240</t>
        </is>
      </c>
      <c r="D35" s="14" t="inlineStr">
        <is>
          <t>NTE</t>
        </is>
      </c>
      <c r="E35" s="14" t="inlineStr">
        <is>
          <t>NHLTBABAHPB200041</t>
        </is>
      </c>
      <c r="F35" s="14" t="inlineStr">
        <is>
          <t>225</t>
        </is>
      </c>
      <c r="G35" s="14" t="inlineStr">
        <is>
          <t>факт</t>
        </is>
      </c>
      <c r="H35" s="26" t="n">
        <v>45512</v>
      </c>
      <c r="I35" s="15">
        <f>IF(D35="TR100",$D$8,IF(H35&lt;$D$5,$D$6,$D$7))</f>
        <v>12</v>
      </c>
      <c r="J35" s="26">
        <f>EDATE(H35,I35)</f>
        <v>45877</v>
      </c>
    </row>
    <row r="36">
      <c r="A36" s="14" t="n">
        <v>26</v>
      </c>
      <c r="B36" s="13" t="inlineStr">
        <is>
          <t>Полюс Красноярск</t>
        </is>
      </c>
      <c r="C36" s="14" t="inlineStr">
        <is>
          <t>NTE240</t>
        </is>
      </c>
      <c r="D36" s="14" t="inlineStr">
        <is>
          <t>NTE</t>
        </is>
      </c>
      <c r="E36" s="14" t="inlineStr">
        <is>
          <t>NHLTBABAPPB200031</t>
        </is>
      </c>
      <c r="F36" s="14" t="inlineStr">
        <is>
          <t>226</t>
        </is>
      </c>
      <c r="G36" s="14" t="inlineStr">
        <is>
          <t>факт</t>
        </is>
      </c>
      <c r="H36" s="26" t="n">
        <v>45521</v>
      </c>
      <c r="I36" s="15">
        <f>IF(D36="TR100",$D$8,IF(H36&lt;$D$5,$D$6,$D$7))</f>
        <v>12</v>
      </c>
      <c r="J36" s="26">
        <f>EDATE(H36,I36)</f>
        <v>45886</v>
      </c>
    </row>
    <row r="37">
      <c r="A37" s="14" t="n">
        <v>27</v>
      </c>
      <c r="B37" s="13" t="inlineStr">
        <is>
          <t>Полюс Красноярск</t>
        </is>
      </c>
      <c r="C37" s="14" t="inlineStr">
        <is>
          <t>NTE240</t>
        </is>
      </c>
      <c r="D37" s="14" t="inlineStr">
        <is>
          <t>NTE</t>
        </is>
      </c>
      <c r="E37" s="14" t="inlineStr">
        <is>
          <t>NHLTBABATPB200044</t>
        </is>
      </c>
      <c r="F37" s="14" t="inlineStr">
        <is>
          <t>227</t>
        </is>
      </c>
      <c r="G37" s="14" t="inlineStr">
        <is>
          <t>факт</t>
        </is>
      </c>
      <c r="H37" s="26" t="n">
        <v>45536</v>
      </c>
      <c r="I37" s="15">
        <f>IF(D37="TR100",$D$8,IF(H37&lt;$D$5,$D$6,$D$7))</f>
        <v>12</v>
      </c>
      <c r="J37" s="26">
        <f>EDATE(H37,I37)</f>
        <v>45901</v>
      </c>
    </row>
    <row r="38">
      <c r="A38" s="14" t="n">
        <v>28</v>
      </c>
      <c r="B38" s="13" t="inlineStr">
        <is>
          <t>Полюс Красноярск</t>
        </is>
      </c>
      <c r="C38" s="14" t="inlineStr">
        <is>
          <t>NTE240</t>
        </is>
      </c>
      <c r="D38" s="14" t="inlineStr">
        <is>
          <t>NTE</t>
        </is>
      </c>
      <c r="E38" s="14" t="inlineStr">
        <is>
          <t>NHLTBABAEPB200042</t>
        </is>
      </c>
      <c r="F38" s="14" t="inlineStr">
        <is>
          <t>228</t>
        </is>
      </c>
      <c r="G38" s="14" t="inlineStr">
        <is>
          <t>факт</t>
        </is>
      </c>
      <c r="H38" s="26" t="n">
        <v>45536</v>
      </c>
      <c r="I38" s="15">
        <f>IF(D38="TR100",$D$8,IF(H38&lt;$D$5,$D$6,$D$7))</f>
        <v>12</v>
      </c>
      <c r="J38" s="26">
        <f>EDATE(H38,I38)</f>
        <v>45901</v>
      </c>
    </row>
    <row r="39">
      <c r="A39" s="14" t="n">
        <v>29</v>
      </c>
      <c r="B39" s="13" t="inlineStr">
        <is>
          <t>Полюс Красноярск</t>
        </is>
      </c>
      <c r="C39" s="14" t="inlineStr">
        <is>
          <t>NTE240</t>
        </is>
      </c>
      <c r="D39" s="14" t="inlineStr">
        <is>
          <t>NTE</t>
        </is>
      </c>
      <c r="E39" s="14" t="inlineStr">
        <is>
          <t>NHLTBABAPPB200045</t>
        </is>
      </c>
      <c r="F39" s="14" t="inlineStr">
        <is>
          <t>229</t>
        </is>
      </c>
      <c r="G39" s="14" t="inlineStr">
        <is>
          <t>факт</t>
        </is>
      </c>
      <c r="H39" s="26" t="n">
        <v>45541</v>
      </c>
      <c r="I39" s="15">
        <f>IF(D39="TR100",$D$8,IF(H39&lt;$D$5,$D$6,$D$7))</f>
        <v>12</v>
      </c>
      <c r="J39" s="26">
        <f>EDATE(H39,I39)</f>
        <v>45906</v>
      </c>
    </row>
    <row r="40">
      <c r="A40" s="14" t="n">
        <v>30</v>
      </c>
      <c r="B40" s="13" t="inlineStr">
        <is>
          <t>Полюс Красноярск</t>
        </is>
      </c>
      <c r="C40" s="14" t="inlineStr">
        <is>
          <t>NTE240</t>
        </is>
      </c>
      <c r="D40" s="14" t="inlineStr">
        <is>
          <t>NTE</t>
        </is>
      </c>
      <c r="E40" s="14" t="inlineStr">
        <is>
          <t>NHLTBABAVPB200049</t>
        </is>
      </c>
      <c r="F40" s="14" t="inlineStr">
        <is>
          <t>231</t>
        </is>
      </c>
      <c r="G40" s="14" t="inlineStr">
        <is>
          <t>факт</t>
        </is>
      </c>
      <c r="H40" s="26" t="n">
        <v>45549</v>
      </c>
      <c r="I40" s="15">
        <f>IF(D40="TR100",$D$8,IF(H40&lt;$D$5,$D$6,$D$7))</f>
        <v>12</v>
      </c>
      <c r="J40" s="26">
        <f>EDATE(H40,I40)</f>
        <v>45914</v>
      </c>
    </row>
    <row r="41">
      <c r="A41" s="14" t="n">
        <v>31</v>
      </c>
      <c r="B41" s="13" t="inlineStr">
        <is>
          <t>Полюс Красноярск</t>
        </is>
      </c>
      <c r="C41" s="14" t="inlineStr">
        <is>
          <t>NTE240</t>
        </is>
      </c>
      <c r="D41" s="14" t="inlineStr">
        <is>
          <t>NTE</t>
        </is>
      </c>
      <c r="E41" s="14" t="inlineStr">
        <is>
          <t>NHLTBABAJPB200047</t>
        </is>
      </c>
      <c r="F41" s="14" t="inlineStr">
        <is>
          <t>230</t>
        </is>
      </c>
      <c r="G41" s="14" t="inlineStr">
        <is>
          <t>факт</t>
        </is>
      </c>
      <c r="H41" s="26" t="n">
        <v>45569</v>
      </c>
      <c r="I41" s="15">
        <f>IF(D41="TR100",$D$8,IF(H41&lt;$D$5,$D$6,$D$7))</f>
        <v>12</v>
      </c>
      <c r="J41" s="26">
        <f>EDATE(H41,I41)</f>
        <v>45934</v>
      </c>
    </row>
    <row r="42">
      <c r="A42" s="14" t="n">
        <v>32</v>
      </c>
      <c r="B42" s="13" t="inlineStr">
        <is>
          <t>Полюс Красноярск</t>
        </is>
      </c>
      <c r="C42" s="14" t="inlineStr">
        <is>
          <t>NTE240</t>
        </is>
      </c>
      <c r="D42" s="14" t="inlineStr">
        <is>
          <t>NTE</t>
        </is>
      </c>
      <c r="E42" s="14" t="inlineStr">
        <is>
          <t>NHLTBABAKPB200046</t>
        </is>
      </c>
      <c r="F42" s="14" t="inlineStr">
        <is>
          <t>232</t>
        </is>
      </c>
      <c r="G42" s="14" t="inlineStr">
        <is>
          <t>факт</t>
        </is>
      </c>
      <c r="H42" s="26" t="n">
        <v>45593</v>
      </c>
      <c r="I42" s="15">
        <f>IF(D42="TR100",$D$8,IF(H42&lt;$D$5,$D$6,$D$7))</f>
        <v>12</v>
      </c>
      <c r="J42" s="26">
        <f>EDATE(H42,I42)</f>
        <v>45958</v>
      </c>
    </row>
    <row r="43">
      <c r="A43" s="14" t="n">
        <v>33</v>
      </c>
      <c r="B43" s="13" t="inlineStr">
        <is>
          <t>Полюс Красноярск</t>
        </is>
      </c>
      <c r="C43" s="14" t="inlineStr">
        <is>
          <t>NTE240</t>
        </is>
      </c>
      <c r="D43" s="14" t="inlineStr">
        <is>
          <t>NTE</t>
        </is>
      </c>
      <c r="E43" s="14" t="inlineStr">
        <is>
          <t>NHLTBABACPB200048</t>
        </is>
      </c>
      <c r="F43" s="14" t="inlineStr">
        <is>
          <t>233</t>
        </is>
      </c>
      <c r="G43" s="14" t="inlineStr">
        <is>
          <t>факт</t>
        </is>
      </c>
      <c r="H43" s="26" t="n">
        <v>45627</v>
      </c>
      <c r="I43" s="15">
        <f>IF(D43="TR100",$D$8,IF(H43&lt;$D$5,$D$6,$D$7))</f>
        <v>12</v>
      </c>
      <c r="J43" s="26">
        <f>EDATE(H43,I43)</f>
        <v>45992</v>
      </c>
    </row>
    <row r="44">
      <c r="A44" s="14" t="n">
        <v>34</v>
      </c>
      <c r="B44" s="13" t="inlineStr">
        <is>
          <t>Полюс Красноярск</t>
        </is>
      </c>
      <c r="C44" s="14" t="inlineStr">
        <is>
          <t>NTE240</t>
        </is>
      </c>
      <c r="D44" s="14" t="inlineStr">
        <is>
          <t>NTE</t>
        </is>
      </c>
      <c r="E44" s="14" t="inlineStr">
        <is>
          <t>NHLTBABAJPB200050</t>
        </is>
      </c>
      <c r="F44" s="14" t="inlineStr">
        <is>
          <t>234</t>
        </is>
      </c>
      <c r="G44" s="14" t="inlineStr">
        <is>
          <t>факт</t>
        </is>
      </c>
      <c r="H44" s="26" t="n">
        <v>45632</v>
      </c>
      <c r="I44" s="15">
        <f>IF(D44="TR100",$D$8,IF(H44&lt;$D$5,$D$6,$D$7))</f>
        <v>12</v>
      </c>
      <c r="J44" s="26">
        <f>EDATE(H44,I44)</f>
        <v>45997</v>
      </c>
    </row>
    <row r="45">
      <c r="A45" s="14" t="n">
        <v>35</v>
      </c>
      <c r="B45" s="13" t="inlineStr">
        <is>
          <t>Полюс Красноярск</t>
        </is>
      </c>
      <c r="C45" s="14" t="inlineStr">
        <is>
          <t>NTE240</t>
        </is>
      </c>
      <c r="D45" s="14" t="inlineStr">
        <is>
          <t>NTE</t>
        </is>
      </c>
      <c r="E45" s="14" t="inlineStr">
        <is>
          <t>NHLTBABAJPB200016</t>
        </is>
      </c>
      <c r="F45" s="14" t="inlineStr">
        <is>
          <t>235</t>
        </is>
      </c>
      <c r="G45" s="14" t="inlineStr">
        <is>
          <t>факт</t>
        </is>
      </c>
      <c r="H45" s="26" t="n">
        <v>45636</v>
      </c>
      <c r="I45" s="15">
        <f>IF(D45="TR100",$D$8,IF(H45&lt;$D$5,$D$6,$D$7))</f>
        <v>12</v>
      </c>
      <c r="J45" s="26">
        <f>EDATE(H45,I45)</f>
        <v>46001</v>
      </c>
    </row>
    <row r="46">
      <c r="A46" s="14" t="n">
        <v>36</v>
      </c>
      <c r="B46" s="13" t="inlineStr">
        <is>
          <t>Полюс Красноярск</t>
        </is>
      </c>
      <c r="C46" s="14" t="inlineStr">
        <is>
          <t>NTE240</t>
        </is>
      </c>
      <c r="D46" s="14" t="inlineStr">
        <is>
          <t>NTE</t>
        </is>
      </c>
      <c r="E46" s="14" t="inlineStr">
        <is>
          <t>NHLTBABACPB200043</t>
        </is>
      </c>
      <c r="F46" s="14" t="inlineStr">
        <is>
          <t>236</t>
        </is>
      </c>
      <c r="G46" s="14" t="inlineStr">
        <is>
          <t>факт</t>
        </is>
      </c>
      <c r="H46" s="26" t="n">
        <v>45646</v>
      </c>
      <c r="I46" s="15">
        <f>IF(D46="TR100",$D$8,IF(H46&lt;$D$5,$D$6,$D$7))</f>
        <v>12</v>
      </c>
      <c r="J46" s="26">
        <f>EDATE(H46,I46)</f>
        <v>46011</v>
      </c>
    </row>
    <row r="47">
      <c r="A47" s="14" t="n">
        <v>37</v>
      </c>
      <c r="B47" s="13" t="inlineStr">
        <is>
          <t>Полюс Красноярск</t>
        </is>
      </c>
      <c r="C47" s="14" t="inlineStr">
        <is>
          <t>NTE240</t>
        </is>
      </c>
      <c r="D47" s="14" t="inlineStr">
        <is>
          <t>NTE</t>
        </is>
      </c>
      <c r="E47" s="14" t="inlineStr">
        <is>
          <t>NHLTBABAJRB200052</t>
        </is>
      </c>
      <c r="F47" s="14" t="inlineStr">
        <is>
          <t>238</t>
        </is>
      </c>
      <c r="G47" s="14" t="inlineStr">
        <is>
          <t>факт</t>
        </is>
      </c>
      <c r="H47" s="26" t="n">
        <v>45661</v>
      </c>
      <c r="I47" s="15">
        <f>IF(D47="TR100",$D$8,IF(H47&lt;$D$5,$D$6,$D$7))</f>
        <v>12</v>
      </c>
      <c r="J47" s="26">
        <f>EDATE(H47,I47)</f>
        <v>46026</v>
      </c>
    </row>
    <row r="48">
      <c r="A48" s="14" t="n">
        <v>38</v>
      </c>
      <c r="B48" s="13" t="inlineStr">
        <is>
          <t>Полюс Красноярск</t>
        </is>
      </c>
      <c r="C48" s="14" t="inlineStr">
        <is>
          <t>NTE240</t>
        </is>
      </c>
      <c r="D48" s="14" t="inlineStr">
        <is>
          <t>NTE</t>
        </is>
      </c>
      <c r="E48" s="14" t="inlineStr">
        <is>
          <t>NHLTBABACRB200053</t>
        </is>
      </c>
      <c r="F48" s="14" t="inlineStr">
        <is>
          <t>237</t>
        </is>
      </c>
      <c r="G48" s="14" t="inlineStr">
        <is>
          <t>факт</t>
        </is>
      </c>
      <c r="H48" s="26" t="n">
        <v>45663</v>
      </c>
      <c r="I48" s="15">
        <f>IF(D48="TR100",$D$8,IF(H48&lt;$D$5,$D$6,$D$7))</f>
        <v>12</v>
      </c>
      <c r="J48" s="26">
        <f>EDATE(H48,I48)</f>
        <v>46028</v>
      </c>
    </row>
    <row r="49">
      <c r="A49" s="14" t="n">
        <v>39</v>
      </c>
      <c r="B49" s="13" t="inlineStr">
        <is>
          <t>Полюс Красноярск</t>
        </is>
      </c>
      <c r="C49" s="14" t="inlineStr">
        <is>
          <t>NTE240</t>
        </is>
      </c>
      <c r="D49" s="14" t="inlineStr">
        <is>
          <t>NTE</t>
        </is>
      </c>
      <c r="E49" s="14" t="inlineStr">
        <is>
          <t>NHLTBABAKRB200051</t>
        </is>
      </c>
      <c r="F49" s="14" t="inlineStr">
        <is>
          <t>239</t>
        </is>
      </c>
      <c r="G49" s="14" t="inlineStr">
        <is>
          <t>факт</t>
        </is>
      </c>
      <c r="H49" s="26" t="n">
        <v>45672</v>
      </c>
      <c r="I49" s="15">
        <f>IF(D49="TR100",$D$8,IF(H49&lt;$D$5,$D$6,$D$7))</f>
        <v>12</v>
      </c>
      <c r="J49" s="26">
        <f>EDATE(H49,I49)</f>
        <v>46037</v>
      </c>
    </row>
    <row r="50">
      <c r="A50" s="14" t="n">
        <v>40</v>
      </c>
      <c r="B50" s="13" t="inlineStr">
        <is>
          <t>Полюс Красноярск</t>
        </is>
      </c>
      <c r="C50" s="14" t="inlineStr">
        <is>
          <t>NTE240</t>
        </is>
      </c>
      <c r="D50" s="14" t="inlineStr">
        <is>
          <t>NTE</t>
        </is>
      </c>
      <c r="E50" s="14" t="inlineStr">
        <is>
          <t>NHLTBABAVRB200054</t>
        </is>
      </c>
      <c r="F50" s="14" t="inlineStr">
        <is>
          <t>240</t>
        </is>
      </c>
      <c r="G50" s="14" t="inlineStr">
        <is>
          <t>факт</t>
        </is>
      </c>
      <c r="H50" s="26" t="n">
        <v>45674</v>
      </c>
      <c r="I50" s="15">
        <f>IF(D50="TR100",$D$8,IF(H50&lt;$D$5,$D$6,$D$7))</f>
        <v>12</v>
      </c>
      <c r="J50" s="26">
        <f>EDATE(H50,I50)</f>
        <v>46039</v>
      </c>
    </row>
    <row r="51">
      <c r="A51" s="14" t="n">
        <v>41</v>
      </c>
      <c r="B51" s="13" t="inlineStr">
        <is>
          <t>Полюс Красноярск</t>
        </is>
      </c>
      <c r="C51" s="14" t="inlineStr">
        <is>
          <t>NTE240</t>
        </is>
      </c>
      <c r="D51" s="14" t="inlineStr">
        <is>
          <t>NTE</t>
        </is>
      </c>
      <c r="E51" s="14" t="inlineStr">
        <is>
          <t>NHLTBABAERB200058</t>
        </is>
      </c>
      <c r="F51" s="14" t="inlineStr">
        <is>
          <t>242</t>
        </is>
      </c>
      <c r="G51" s="14" t="inlineStr">
        <is>
          <t>факт</t>
        </is>
      </c>
      <c r="H51" s="26" t="n">
        <v>45690</v>
      </c>
      <c r="I51" s="15">
        <f>IF(D51="TR100",$D$8,IF(H51&lt;$D$5,$D$6,$D$7))</f>
        <v>12</v>
      </c>
      <c r="J51" s="26">
        <f>EDATE(H51,I51)</f>
        <v>46055</v>
      </c>
    </row>
    <row r="52">
      <c r="A52" s="14" t="n">
        <v>42</v>
      </c>
      <c r="B52" s="13" t="inlineStr">
        <is>
          <t>Полюс Красноярск</t>
        </is>
      </c>
      <c r="C52" s="14" t="inlineStr">
        <is>
          <t>NTE240</t>
        </is>
      </c>
      <c r="D52" s="14" t="inlineStr">
        <is>
          <t>NTE</t>
        </is>
      </c>
      <c r="E52" s="14" t="inlineStr">
        <is>
          <t>NHLTBABAARB200055</t>
        </is>
      </c>
      <c r="F52" s="14" t="inlineStr">
        <is>
          <t>241</t>
        </is>
      </c>
      <c r="G52" s="14" t="inlineStr">
        <is>
          <t>факт</t>
        </is>
      </c>
      <c r="H52" s="26" t="n">
        <v>45693</v>
      </c>
      <c r="I52" s="15">
        <f>IF(D52="TR100",$D$8,IF(H52&lt;$D$5,$D$6,$D$7))</f>
        <v>12</v>
      </c>
      <c r="J52" s="26">
        <f>EDATE(H52,I52)</f>
        <v>46058</v>
      </c>
    </row>
    <row r="53">
      <c r="A53" s="14" t="n">
        <v>43</v>
      </c>
      <c r="B53" s="13" t="inlineStr">
        <is>
          <t>Полюс Красноярск</t>
        </is>
      </c>
      <c r="C53" s="14" t="inlineStr">
        <is>
          <t>NTE240</t>
        </is>
      </c>
      <c r="D53" s="14" t="inlineStr">
        <is>
          <t>NTE</t>
        </is>
      </c>
      <c r="E53" s="14" t="inlineStr">
        <is>
          <t>NHLTBABAHRB200057</t>
        </is>
      </c>
      <c r="F53" s="14" t="inlineStr">
        <is>
          <t>243</t>
        </is>
      </c>
      <c r="G53" s="14" t="inlineStr">
        <is>
          <t>факт</t>
        </is>
      </c>
      <c r="H53" s="26" t="n">
        <v>45706</v>
      </c>
      <c r="I53" s="15">
        <f>IF(D53="TR100",$D$8,IF(H53&lt;$D$5,$D$6,$D$7))</f>
        <v>12</v>
      </c>
      <c r="J53" s="26">
        <f>EDATE(H53,I53)</f>
        <v>46071</v>
      </c>
    </row>
    <row r="54">
      <c r="A54" s="14" t="n">
        <v>44</v>
      </c>
      <c r="B54" s="13" t="inlineStr">
        <is>
          <t>Полюс Красноярск</t>
        </is>
      </c>
      <c r="C54" s="14" t="inlineStr">
        <is>
          <t>NTE240</t>
        </is>
      </c>
      <c r="D54" s="14" t="inlineStr">
        <is>
          <t>NTE</t>
        </is>
      </c>
      <c r="E54" s="14" t="inlineStr">
        <is>
          <t>NHLTBABAERB200061</t>
        </is>
      </c>
      <c r="F54" s="14" t="inlineStr">
        <is>
          <t>244</t>
        </is>
      </c>
      <c r="G54" s="14" t="inlineStr">
        <is>
          <t>факт</t>
        </is>
      </c>
      <c r="H54" s="26" t="n">
        <v>45717</v>
      </c>
      <c r="I54" s="15">
        <f>IF(D54="TR100",$D$8,IF(H54&lt;$D$5,$D$6,$D$7))</f>
        <v>12</v>
      </c>
      <c r="J54" s="26">
        <f>EDATE(H54,I54)</f>
        <v>46082</v>
      </c>
    </row>
    <row r="55">
      <c r="A55" s="14" t="n">
        <v>45</v>
      </c>
      <c r="B55" s="13" t="inlineStr">
        <is>
          <t>Полюс Красноярск</t>
        </is>
      </c>
      <c r="C55" s="14" t="inlineStr">
        <is>
          <t>NTE240</t>
        </is>
      </c>
      <c r="D55" s="14" t="inlineStr">
        <is>
          <t>NTE</t>
        </is>
      </c>
      <c r="E55" s="14" t="inlineStr">
        <is>
          <t>NHLTBABACRB200059</t>
        </is>
      </c>
      <c r="F55" s="14" t="inlineStr">
        <is>
          <t>245</t>
        </is>
      </c>
      <c r="G55" s="14" t="inlineStr">
        <is>
          <t>факт</t>
        </is>
      </c>
      <c r="H55" s="26" t="n">
        <v>45717</v>
      </c>
      <c r="I55" s="15">
        <f>IF(D55="TR100",$D$8,IF(H55&lt;$D$5,$D$6,$D$7))</f>
        <v>12</v>
      </c>
      <c r="J55" s="26">
        <f>EDATE(H55,I55)</f>
        <v>46082</v>
      </c>
    </row>
    <row r="56">
      <c r="A56" s="14" t="n">
        <v>46</v>
      </c>
      <c r="B56" s="13" t="inlineStr">
        <is>
          <t>Полюс Красноярск</t>
        </is>
      </c>
      <c r="C56" s="14" t="inlineStr">
        <is>
          <t>NTE240</t>
        </is>
      </c>
      <c r="D56" s="14" t="inlineStr">
        <is>
          <t>NTE</t>
        </is>
      </c>
      <c r="E56" s="14" t="inlineStr">
        <is>
          <t>NHLTBABAHRB200060</t>
        </is>
      </c>
      <c r="F56" s="14" t="inlineStr">
        <is>
          <t>247</t>
        </is>
      </c>
      <c r="G56" s="14" t="inlineStr">
        <is>
          <t>факт</t>
        </is>
      </c>
      <c r="H56" s="26" t="n">
        <v>45739</v>
      </c>
      <c r="I56" s="15">
        <f>IF(D56="TR100",$D$8,IF(H56&lt;$D$5,$D$6,$D$7))</f>
        <v>12</v>
      </c>
      <c r="J56" s="26">
        <f>EDATE(H56,I56)</f>
        <v>46104</v>
      </c>
    </row>
    <row r="57">
      <c r="A57" s="14" t="n">
        <v>47</v>
      </c>
      <c r="B57" s="13" t="inlineStr">
        <is>
          <t>Полюс Красноярск</t>
        </is>
      </c>
      <c r="C57" s="14" t="inlineStr">
        <is>
          <t>NTE240</t>
        </is>
      </c>
      <c r="D57" s="14" t="inlineStr">
        <is>
          <t>NTE</t>
        </is>
      </c>
      <c r="E57" s="14" t="inlineStr">
        <is>
          <t>NHLTBABALRB200056</t>
        </is>
      </c>
      <c r="F57" s="14" t="inlineStr">
        <is>
          <t>246</t>
        </is>
      </c>
      <c r="G57" s="14" t="inlineStr">
        <is>
          <t>факт</t>
        </is>
      </c>
      <c r="H57" s="26" t="n">
        <v>45744</v>
      </c>
      <c r="I57" s="15">
        <f>IF(D57="TR100",$D$8,IF(H57&lt;$D$5,$D$6,$D$7))</f>
        <v>12</v>
      </c>
      <c r="J57" s="26">
        <f>EDATE(H57,I57)</f>
        <v>46109</v>
      </c>
    </row>
    <row r="58">
      <c r="A58" s="14" t="n">
        <v>48</v>
      </c>
      <c r="B58" s="13" t="inlineStr">
        <is>
          <t>Полюс Красноярск</t>
        </is>
      </c>
      <c r="C58" s="14" t="inlineStr">
        <is>
          <t>NTE240</t>
        </is>
      </c>
      <c r="D58" s="14" t="inlineStr">
        <is>
          <t>NTE</t>
        </is>
      </c>
      <c r="E58" s="14" t="inlineStr">
        <is>
          <t>NHLTBABAHSB200078</t>
        </is>
      </c>
      <c r="F58" s="14" t="inlineStr">
        <is>
          <t>248</t>
        </is>
      </c>
      <c r="G58" s="14" t="inlineStr">
        <is>
          <t>факт</t>
        </is>
      </c>
      <c r="H58" s="26" t="n">
        <v>45768</v>
      </c>
      <c r="I58" s="15">
        <f>IF(D58="TR100",$D$8,IF(H58&lt;$D$5,$D$6,$D$7))</f>
        <v>12</v>
      </c>
      <c r="J58" s="26">
        <f>EDATE(H58,I58)</f>
        <v>46133</v>
      </c>
    </row>
    <row r="59">
      <c r="A59" s="14" t="n">
        <v>49</v>
      </c>
      <c r="B59" s="13" t="inlineStr">
        <is>
          <t>Полюс Красноярск</t>
        </is>
      </c>
      <c r="C59" s="14" t="inlineStr">
        <is>
          <t>NTE240</t>
        </is>
      </c>
      <c r="D59" s="14" t="inlineStr">
        <is>
          <t>NTE</t>
        </is>
      </c>
      <c r="E59" s="14" t="inlineStr">
        <is>
          <t>NHLTBABAESB200079</t>
        </is>
      </c>
      <c r="F59" s="14" t="inlineStr">
        <is>
          <t>249</t>
        </is>
      </c>
      <c r="G59" s="14" t="inlineStr">
        <is>
          <t>факт</t>
        </is>
      </c>
      <c r="H59" s="26" t="n">
        <v>45772</v>
      </c>
      <c r="I59" s="15">
        <f>IF(D59="TR100",$D$8,IF(H59&lt;$D$5,$D$6,$D$7))</f>
        <v>12</v>
      </c>
      <c r="J59" s="26">
        <f>EDATE(H59,I59)</f>
        <v>46137</v>
      </c>
    </row>
    <row r="60">
      <c r="A60" s="14" t="n">
        <v>50</v>
      </c>
      <c r="B60" s="13" t="inlineStr">
        <is>
          <t>Полюс Красноярск</t>
        </is>
      </c>
      <c r="C60" s="14" t="inlineStr">
        <is>
          <t>NTE240</t>
        </is>
      </c>
      <c r="D60" s="14" t="inlineStr">
        <is>
          <t>NTE</t>
        </is>
      </c>
      <c r="E60" s="14" t="inlineStr">
        <is>
          <t>NHLTBABALSB200080</t>
        </is>
      </c>
      <c r="F60" s="14" t="inlineStr">
        <is>
          <t>250</t>
        </is>
      </c>
      <c r="G60" s="14" t="inlineStr">
        <is>
          <t>факт</t>
        </is>
      </c>
      <c r="H60" s="26" t="n">
        <v>45782</v>
      </c>
      <c r="I60" s="15">
        <f>IF(D60="TR100",$D$8,IF(H60&lt;$D$5,$D$6,$D$7))</f>
        <v>12</v>
      </c>
      <c r="J60" s="26">
        <f>EDATE(H60,I60)</f>
        <v>46147</v>
      </c>
    </row>
    <row r="61">
      <c r="A61" s="14" t="n">
        <v>51</v>
      </c>
      <c r="B61" s="13" t="inlineStr">
        <is>
          <t>Полюс Красноярск</t>
        </is>
      </c>
      <c r="C61" s="14" t="inlineStr">
        <is>
          <t>NTE240</t>
        </is>
      </c>
      <c r="D61" s="14" t="inlineStr">
        <is>
          <t>NTE</t>
        </is>
      </c>
      <c r="E61" s="14" t="inlineStr">
        <is>
          <t>NHLTBABAHSB200081</t>
        </is>
      </c>
      <c r="F61" s="14" t="inlineStr">
        <is>
          <t>251</t>
        </is>
      </c>
      <c r="G61" s="14" t="inlineStr">
        <is>
          <t>факт</t>
        </is>
      </c>
      <c r="H61" s="26" t="n">
        <v>45789</v>
      </c>
      <c r="I61" s="15">
        <f>IF(D61="TR100",$D$8,IF(H61&lt;$D$5,$D$6,$D$7))</f>
        <v>12</v>
      </c>
      <c r="J61" s="26">
        <f>EDATE(H61,I61)</f>
        <v>46154</v>
      </c>
    </row>
    <row r="62">
      <c r="A62" s="14" t="n">
        <v>52</v>
      </c>
      <c r="B62" s="13" t="inlineStr">
        <is>
          <t>Полюс Красноярск</t>
        </is>
      </c>
      <c r="C62" s="14" t="inlineStr">
        <is>
          <t>NTE240</t>
        </is>
      </c>
      <c r="D62" s="14" t="inlineStr">
        <is>
          <t>NTE</t>
        </is>
      </c>
      <c r="E62" s="14" t="inlineStr">
        <is>
          <t>NHLTBABAESB200082</t>
        </is>
      </c>
      <c r="F62" s="14" t="inlineStr">
        <is>
          <t>252</t>
        </is>
      </c>
      <c r="G62" s="14" t="inlineStr">
        <is>
          <t>факт</t>
        </is>
      </c>
      <c r="H62" s="26" t="n">
        <v>45798</v>
      </c>
      <c r="I62" s="15">
        <f>IF(D62="TR100",$D$8,IF(H62&lt;$D$5,$D$6,$D$7))</f>
        <v>12</v>
      </c>
      <c r="J62" s="26">
        <f>EDATE(H62,I62)</f>
        <v>46163</v>
      </c>
    </row>
    <row r="63">
      <c r="A63" s="14" t="n">
        <v>53</v>
      </c>
      <c r="B63" s="13" t="inlineStr">
        <is>
          <t>Полюс Красноярск</t>
        </is>
      </c>
      <c r="C63" s="14" t="inlineStr">
        <is>
          <t>NTE240</t>
        </is>
      </c>
      <c r="D63" s="14" t="inlineStr">
        <is>
          <t>NTE</t>
        </is>
      </c>
      <c r="E63" s="14" t="inlineStr">
        <is>
          <t>NHLTBABACSB200083</t>
        </is>
      </c>
      <c r="F63" s="14" t="inlineStr">
        <is>
          <t>253</t>
        </is>
      </c>
      <c r="G63" s="14" t="inlineStr">
        <is>
          <t>факт</t>
        </is>
      </c>
      <c r="H63" s="26" t="n">
        <v>45806</v>
      </c>
      <c r="I63" s="15">
        <f>IF(D63="TR100",$D$8,IF(H63&lt;$D$5,$D$6,$D$7))</f>
        <v>12</v>
      </c>
      <c r="J63" s="26">
        <f>EDATE(H63,I63)</f>
        <v>46171</v>
      </c>
    </row>
    <row r="64">
      <c r="A64" s="14" t="n">
        <v>54</v>
      </c>
      <c r="B64" s="13" t="inlineStr">
        <is>
          <t>Полюс Красноярск</t>
        </is>
      </c>
      <c r="C64" s="14" t="inlineStr">
        <is>
          <t>NTE240</t>
        </is>
      </c>
      <c r="D64" s="14" t="inlineStr">
        <is>
          <t>NTE</t>
        </is>
      </c>
      <c r="E64" s="14" t="inlineStr">
        <is>
          <t>NHLTBABATSB200084</t>
        </is>
      </c>
      <c r="F64" s="14" t="inlineStr">
        <is>
          <t>254</t>
        </is>
      </c>
      <c r="G64" s="14" t="inlineStr">
        <is>
          <t>факт</t>
        </is>
      </c>
      <c r="H64" s="26" t="n">
        <v>45815</v>
      </c>
      <c r="I64" s="15">
        <f>IF(D64="TR100",$D$8,IF(H64&lt;$D$5,$D$6,$D$7))</f>
        <v>12</v>
      </c>
      <c r="J64" s="26">
        <f>EDATE(H64,I64)</f>
        <v>46180</v>
      </c>
    </row>
    <row r="65">
      <c r="A65" s="14" t="n">
        <v>55</v>
      </c>
      <c r="B65" s="13" t="inlineStr">
        <is>
          <t>Полюс Красноярск</t>
        </is>
      </c>
      <c r="C65" s="14" t="inlineStr">
        <is>
          <t>NTE240</t>
        </is>
      </c>
      <c r="D65" s="14" t="inlineStr">
        <is>
          <t>NTE</t>
        </is>
      </c>
      <c r="E65" s="14" t="inlineStr">
        <is>
          <t>NHLTBABAPSB200085</t>
        </is>
      </c>
      <c r="F65" s="14" t="inlineStr">
        <is>
          <t>255</t>
        </is>
      </c>
      <c r="G65" s="14" t="inlineStr">
        <is>
          <t>факт</t>
        </is>
      </c>
      <c r="H65" s="26" t="n">
        <v>45819</v>
      </c>
      <c r="I65" s="15">
        <f>IF(D65="TR100",$D$8,IF(H65&lt;$D$5,$D$6,$D$7))</f>
        <v>12</v>
      </c>
      <c r="J65" s="26">
        <f>EDATE(H65,I65)</f>
        <v>46184</v>
      </c>
    </row>
    <row r="66">
      <c r="A66" s="14" t="n">
        <v>56</v>
      </c>
      <c r="B66" s="13" t="inlineStr">
        <is>
          <t>Полюс Красноярск</t>
        </is>
      </c>
      <c r="C66" s="14" t="inlineStr">
        <is>
          <t>NTE240</t>
        </is>
      </c>
      <c r="D66" s="14" t="inlineStr">
        <is>
          <t>NTE</t>
        </is>
      </c>
      <c r="E66" s="14" t="inlineStr">
        <is>
          <t>NHLTBABAJSB200087</t>
        </is>
      </c>
      <c r="F66" s="14" t="inlineStr">
        <is>
          <t>257</t>
        </is>
      </c>
      <c r="G66" s="14" t="inlineStr">
        <is>
          <t>факт</t>
        </is>
      </c>
      <c r="H66" s="26" t="n">
        <v>45829</v>
      </c>
      <c r="I66" s="15">
        <f>IF(D66="TR100",$D$8,IF(H66&lt;$D$5,$D$6,$D$7))</f>
        <v>12</v>
      </c>
      <c r="J66" s="26">
        <f>EDATE(H66,I66)</f>
        <v>46194</v>
      </c>
    </row>
    <row r="67">
      <c r="A67" s="14" t="n">
        <v>57</v>
      </c>
      <c r="B67" s="13" t="inlineStr">
        <is>
          <t>Полюс Красноярск</t>
        </is>
      </c>
      <c r="C67" s="14" t="inlineStr">
        <is>
          <t>NTE240</t>
        </is>
      </c>
      <c r="D67" s="14" t="inlineStr">
        <is>
          <t>NTE</t>
        </is>
      </c>
      <c r="E67" s="14" t="inlineStr">
        <is>
          <t>NHLTBABAKSB200086</t>
        </is>
      </c>
      <c r="F67" s="14" t="inlineStr">
        <is>
          <t>256</t>
        </is>
      </c>
      <c r="G67" s="14" t="inlineStr">
        <is>
          <t>факт</t>
        </is>
      </c>
      <c r="H67" s="26" t="n">
        <v>45834</v>
      </c>
      <c r="I67" s="15">
        <f>IF(D67="TR100",$D$8,IF(H67&lt;$D$5,$D$6,$D$7))</f>
        <v>12</v>
      </c>
      <c r="J67" s="26">
        <f>EDATE(H67,I67)</f>
        <v>46199</v>
      </c>
    </row>
    <row r="68">
      <c r="A68" s="14" t="n">
        <v>58</v>
      </c>
      <c r="B68" s="13" t="inlineStr">
        <is>
          <t>Полюс Красноярск</t>
        </is>
      </c>
      <c r="C68" s="14" t="inlineStr">
        <is>
          <t>NTE240</t>
        </is>
      </c>
      <c r="D68" s="14" t="inlineStr">
        <is>
          <t>NTE</t>
        </is>
      </c>
      <c r="E68" s="14" t="inlineStr">
        <is>
          <t>NHLTBABAVSB200089</t>
        </is>
      </c>
      <c r="F68" s="14" t="inlineStr">
        <is>
          <t>259</t>
        </is>
      </c>
      <c r="G68" s="14" t="inlineStr">
        <is>
          <t>факт</t>
        </is>
      </c>
      <c r="H68" s="26" t="n">
        <v>45847</v>
      </c>
      <c r="I68" s="15">
        <f>IF(D68="TR100",$D$8,IF(H68&lt;$D$5,$D$6,$D$7))</f>
        <v>12</v>
      </c>
      <c r="J68" s="26">
        <f>EDATE(H68,I68)</f>
        <v>46212</v>
      </c>
    </row>
    <row r="69">
      <c r="A69" s="14" t="n">
        <v>59</v>
      </c>
      <c r="B69" s="13" t="inlineStr">
        <is>
          <t>Полюс Красноярск</t>
        </is>
      </c>
      <c r="C69" s="14" t="inlineStr">
        <is>
          <t>NTE240</t>
        </is>
      </c>
      <c r="D69" s="14" t="inlineStr">
        <is>
          <t>NTE</t>
        </is>
      </c>
      <c r="E69" s="14" t="inlineStr">
        <is>
          <t>NHLTBABACSB200088</t>
        </is>
      </c>
      <c r="F69" s="14" t="inlineStr">
        <is>
          <t>258</t>
        </is>
      </c>
      <c r="G69" s="14" t="inlineStr">
        <is>
          <t>факт</t>
        </is>
      </c>
      <c r="H69" s="26" t="n">
        <v>45854</v>
      </c>
      <c r="I69" s="15">
        <f>IF(D69="TR100",$D$8,IF(H69&lt;$D$5,$D$6,$D$7))</f>
        <v>12</v>
      </c>
      <c r="J69" s="26">
        <f>EDATE(H69,I69)</f>
        <v>46219</v>
      </c>
    </row>
    <row r="70">
      <c r="A70" s="14" t="n">
        <v>60</v>
      </c>
      <c r="B70" s="13" t="inlineStr">
        <is>
          <t>Полюс Красноярск</t>
        </is>
      </c>
      <c r="C70" s="14" t="inlineStr">
        <is>
          <t>NTE240</t>
        </is>
      </c>
      <c r="D70" s="14" t="inlineStr">
        <is>
          <t>NTE</t>
        </is>
      </c>
      <c r="E70" s="14" t="inlineStr">
        <is>
          <t>NHLTBABAJSB200090</t>
        </is>
      </c>
      <c r="F70" s="14" t="inlineStr">
        <is>
          <t>260</t>
        </is>
      </c>
      <c r="G70" s="14" t="inlineStr">
        <is>
          <t>факт</t>
        </is>
      </c>
      <c r="H70" s="26" t="n">
        <v>45857</v>
      </c>
      <c r="I70" s="15">
        <f>IF(D70="TR100",$D$8,IF(H70&lt;$D$5,$D$6,$D$7))</f>
        <v>12</v>
      </c>
      <c r="J70" s="26">
        <f>EDATE(H70,I70)</f>
        <v>46222</v>
      </c>
    </row>
    <row r="71">
      <c r="A71" s="14" t="n">
        <v>61</v>
      </c>
      <c r="B71" s="13" t="inlineStr">
        <is>
          <t>Полюс Красноярск</t>
        </is>
      </c>
      <c r="C71" s="14" t="inlineStr">
        <is>
          <t>NTE240</t>
        </is>
      </c>
      <c r="D71" s="14" t="inlineStr">
        <is>
          <t>NTE</t>
        </is>
      </c>
      <c r="E71" s="14" t="inlineStr">
        <is>
          <t>NHLTBABAСSB200091</t>
        </is>
      </c>
      <c r="F71" s="14" t="inlineStr">
        <is>
          <t>261</t>
        </is>
      </c>
      <c r="G71" s="14" t="inlineStr">
        <is>
          <t>факт</t>
        </is>
      </c>
      <c r="H71" s="26" t="n">
        <v>45864</v>
      </c>
      <c r="I71" s="15">
        <f>IF(D71="TR100",$D$8,IF(H71&lt;$D$5,$D$6,$D$7))</f>
        <v>12</v>
      </c>
      <c r="J71" s="26">
        <f>EDATE(H71,I71)</f>
        <v>46229</v>
      </c>
    </row>
    <row r="72">
      <c r="A72" s="14" t="n">
        <v>62</v>
      </c>
      <c r="B72" s="13" t="inlineStr">
        <is>
          <t>Полюс Красноярск</t>
        </is>
      </c>
      <c r="C72" s="14" t="inlineStr">
        <is>
          <t>NTE240</t>
        </is>
      </c>
      <c r="D72" s="14" t="inlineStr">
        <is>
          <t>NTE</t>
        </is>
      </c>
      <c r="E72" s="14" t="inlineStr">
        <is>
          <t>NHLTBABAVSB200092</t>
        </is>
      </c>
      <c r="F72" s="14" t="inlineStr">
        <is>
          <t>262</t>
        </is>
      </c>
      <c r="G72" s="14" t="inlineStr">
        <is>
          <t>факт</t>
        </is>
      </c>
      <c r="H72" s="26" t="n">
        <v>45872</v>
      </c>
      <c r="I72" s="15">
        <f>IF(D72="TR100",$D$8,IF(H72&lt;$D$5,$D$6,$D$7))</f>
        <v>12</v>
      </c>
      <c r="J72" s="26">
        <f>EDATE(H72,I72)</f>
        <v>46237</v>
      </c>
    </row>
    <row r="73">
      <c r="A73" s="14" t="n">
        <v>63</v>
      </c>
      <c r="B73" s="13" t="inlineStr">
        <is>
          <t>Полюс Красноярск</t>
        </is>
      </c>
      <c r="C73" s="14" t="inlineStr">
        <is>
          <t>NTE240</t>
        </is>
      </c>
      <c r="D73" s="14" t="inlineStr">
        <is>
          <t>NTE</t>
        </is>
      </c>
      <c r="E73" s="14" t="inlineStr">
        <is>
          <t>NHLTBABAASB200093</t>
        </is>
      </c>
      <c r="F73" s="14" t="inlineStr">
        <is>
          <t>263</t>
        </is>
      </c>
      <c r="G73" s="14" t="inlineStr">
        <is>
          <t>факт</t>
        </is>
      </c>
      <c r="H73" s="26" t="n">
        <v>45876</v>
      </c>
      <c r="I73" s="15">
        <f>IF(D73="TR100",$D$8,IF(H73&lt;$D$5,$D$6,$D$7))</f>
        <v>12</v>
      </c>
      <c r="J73" s="26">
        <f>EDATE(H73,I73)</f>
        <v>46241</v>
      </c>
    </row>
    <row r="74">
      <c r="A74" s="14" t="n">
        <v>64</v>
      </c>
      <c r="B74" s="13" t="inlineStr">
        <is>
          <t>Полюс Красноярск</t>
        </is>
      </c>
      <c r="C74" s="14" t="inlineStr">
        <is>
          <t>NTE240</t>
        </is>
      </c>
      <c r="D74" s="14" t="inlineStr">
        <is>
          <t>NTE</t>
        </is>
      </c>
      <c r="E74" s="14" t="inlineStr">
        <is>
          <t>NHLTBABALSB200094</t>
        </is>
      </c>
      <c r="F74" s="14" t="inlineStr">
        <is>
          <t>264</t>
        </is>
      </c>
      <c r="G74" s="14" t="inlineStr">
        <is>
          <t>факт</t>
        </is>
      </c>
      <c r="H74" s="26" t="n">
        <v>45885</v>
      </c>
      <c r="I74" s="15">
        <f>IF(D74="TR100",$D$8,IF(H74&lt;$D$5,$D$6,$D$7))</f>
        <v>12</v>
      </c>
      <c r="J74" s="26">
        <f>EDATE(H74,I74)</f>
        <v>46250</v>
      </c>
    </row>
    <row r="75">
      <c r="A75" s="14" t="n">
        <v>65</v>
      </c>
      <c r="B75" s="13" t="inlineStr">
        <is>
          <t>Полюс Красноярск</t>
        </is>
      </c>
      <c r="C75" s="14" t="inlineStr">
        <is>
          <t>NTE240</t>
        </is>
      </c>
      <c r="D75" s="14" t="inlineStr">
        <is>
          <t>NTE</t>
        </is>
      </c>
      <c r="E75" s="14" t="inlineStr">
        <is>
          <t>NHLTBABAHSB200095</t>
        </is>
      </c>
      <c r="F75" s="14" t="inlineStr">
        <is>
          <t>265</t>
        </is>
      </c>
      <c r="G75" s="14" t="inlineStr">
        <is>
          <t>факт</t>
        </is>
      </c>
      <c r="H75" s="26" t="n">
        <v>45890</v>
      </c>
      <c r="I75" s="15">
        <f>IF(D75="TR100",$D$8,IF(H75&lt;$D$5,$D$6,$D$7))</f>
        <v>12</v>
      </c>
      <c r="J75" s="26">
        <f>EDATE(H75,I75)</f>
        <v>46255</v>
      </c>
    </row>
    <row r="76">
      <c r="A76" s="14" t="n">
        <v>66</v>
      </c>
      <c r="B76" s="13" t="inlineStr">
        <is>
          <t>Полюс Красноярск</t>
        </is>
      </c>
      <c r="C76" s="14" t="inlineStr">
        <is>
          <t>NTE240</t>
        </is>
      </c>
      <c r="D76" s="14" t="inlineStr">
        <is>
          <t>NTE</t>
        </is>
      </c>
      <c r="E76" s="14" t="inlineStr">
        <is>
          <t>NHLTBABAESB200096</t>
        </is>
      </c>
      <c r="F76" s="14" t="inlineStr">
        <is>
          <t>266</t>
        </is>
      </c>
      <c r="G76" s="14" t="inlineStr">
        <is>
          <t>факт</t>
        </is>
      </c>
      <c r="H76" s="26" t="n">
        <v>45896</v>
      </c>
      <c r="I76" s="15">
        <f>IF(D76="TR100",$D$8,IF(H76&lt;$D$5,$D$6,$D$7))</f>
        <v>12</v>
      </c>
      <c r="J76" s="26">
        <f>EDATE(H76,I76)</f>
        <v>46261</v>
      </c>
    </row>
    <row r="77">
      <c r="A77" s="14" t="n">
        <v>67</v>
      </c>
      <c r="B77" s="13" t="inlineStr">
        <is>
          <t>Полюс Красноярск</t>
        </is>
      </c>
      <c r="C77" s="14" t="inlineStr">
        <is>
          <t>NTE240</t>
        </is>
      </c>
      <c r="D77" s="14" t="inlineStr">
        <is>
          <t>NTE</t>
        </is>
      </c>
      <c r="E77" s="14" t="inlineStr">
        <is>
          <t>NHLTBABACSB200097</t>
        </is>
      </c>
      <c r="F77" s="14" t="inlineStr">
        <is>
          <t>267</t>
        </is>
      </c>
      <c r="G77" s="14" t="inlineStr">
        <is>
          <t>факт</t>
        </is>
      </c>
      <c r="H77" s="26" t="n">
        <v>45904</v>
      </c>
      <c r="I77" s="15">
        <f>IF(D77="TR100",$D$8,IF(H77&lt;$D$5,$D$6,$D$7))</f>
        <v>12</v>
      </c>
      <c r="J77" s="26">
        <f>EDATE(H77,I77)</f>
        <v>46269</v>
      </c>
    </row>
    <row r="78">
      <c r="A78" s="14" t="n">
        <v>68</v>
      </c>
      <c r="B78" s="13" t="inlineStr">
        <is>
          <t>Полюс Красноярск</t>
        </is>
      </c>
      <c r="C78" s="14" t="inlineStr">
        <is>
          <t>NTE240</t>
        </is>
      </c>
      <c r="D78" s="14" t="inlineStr">
        <is>
          <t>NTE</t>
        </is>
      </c>
      <c r="E78" s="14" t="inlineStr">
        <is>
          <t>NHLTBABATSB200098</t>
        </is>
      </c>
      <c r="F78" s="14" t="inlineStr">
        <is>
          <t>268</t>
        </is>
      </c>
      <c r="G78" s="14" t="inlineStr">
        <is>
          <t>факт</t>
        </is>
      </c>
      <c r="H78" s="26" t="n">
        <v>45912</v>
      </c>
      <c r="I78" s="15">
        <f>IF(D78="TR100",$D$8,IF(H78&lt;$D$5,$D$6,$D$7))</f>
        <v>12</v>
      </c>
      <c r="J78" s="26">
        <f>EDATE(H78,I78)</f>
        <v>46277</v>
      </c>
    </row>
    <row r="79">
      <c r="A79" s="14" t="n">
        <v>69</v>
      </c>
      <c r="B79" s="13" t="inlineStr">
        <is>
          <t>Полюс Красноярск</t>
        </is>
      </c>
      <c r="C79" s="14" t="inlineStr">
        <is>
          <t>NTE240</t>
        </is>
      </c>
      <c r="D79" s="14" t="inlineStr">
        <is>
          <t>NTE</t>
        </is>
      </c>
      <c r="E79" s="14" t="inlineStr">
        <is>
          <t>NHLTBABAPSB200099</t>
        </is>
      </c>
      <c r="F79" s="14" t="inlineStr">
        <is>
          <t>269</t>
        </is>
      </c>
      <c r="G79" s="14" t="inlineStr">
        <is>
          <t>факт</t>
        </is>
      </c>
      <c r="H79" s="26" t="n">
        <v>45922</v>
      </c>
      <c r="I79" s="15">
        <f>IF(D79="TR100",$D$8,IF(H79&lt;$D$5,$D$6,$D$7))</f>
        <v>12</v>
      </c>
      <c r="J79" s="26">
        <f>EDATE(H79,I79)</f>
        <v>46287</v>
      </c>
    </row>
    <row r="80">
      <c r="A80" s="14" t="n">
        <v>70</v>
      </c>
      <c r="B80" s="13" t="inlineStr">
        <is>
          <t>Полюс Красноярск</t>
        </is>
      </c>
      <c r="C80" s="14" t="inlineStr">
        <is>
          <t>NTE240</t>
        </is>
      </c>
      <c r="D80" s="14" t="inlineStr">
        <is>
          <t>NTE</t>
        </is>
      </c>
      <c r="E80" s="14" t="inlineStr">
        <is>
          <t>NHLTBABAHSB200100</t>
        </is>
      </c>
      <c r="F80" s="14" t="inlineStr">
        <is>
          <t>270</t>
        </is>
      </c>
      <c r="G80" s="14" t="inlineStr">
        <is>
          <t>факт</t>
        </is>
      </c>
      <c r="H80" s="26" t="n">
        <v>45925</v>
      </c>
      <c r="I80" s="15">
        <f>IF(D80="TR100",$D$8,IF(H80&lt;$D$5,$D$6,$D$7))</f>
        <v>12</v>
      </c>
      <c r="J80" s="26">
        <f>EDATE(H80,I80)</f>
        <v>46290</v>
      </c>
    </row>
    <row r="81">
      <c r="A81" s="14" t="n">
        <v>71</v>
      </c>
      <c r="B81" s="13" t="inlineStr">
        <is>
          <t>Полюс Красноярск</t>
        </is>
      </c>
      <c r="C81" s="14" t="inlineStr">
        <is>
          <t>NTE240</t>
        </is>
      </c>
      <c r="D81" s="14" t="inlineStr">
        <is>
          <t>NTE</t>
        </is>
      </c>
      <c r="E81" s="14" t="inlineStr">
        <is>
          <t>NHLTBABAESB200101</t>
        </is>
      </c>
      <c r="F81" s="14" t="inlineStr">
        <is>
          <t>271</t>
        </is>
      </c>
      <c r="G81" s="14" t="inlineStr">
        <is>
          <t>факт</t>
        </is>
      </c>
      <c r="H81" s="26" t="n">
        <v>45933</v>
      </c>
      <c r="I81" s="15">
        <f>IF(D81="TR100",$D$8,IF(H81&lt;$D$5,$D$6,$D$7))</f>
        <v>12</v>
      </c>
      <c r="J81" s="26">
        <f>EDATE(H81,I81)</f>
        <v>46298</v>
      </c>
    </row>
    <row r="82">
      <c r="A82" s="14" t="n">
        <v>72</v>
      </c>
      <c r="B82" s="13" t="inlineStr">
        <is>
          <t>Полюс Красноярск</t>
        </is>
      </c>
      <c r="C82" s="14" t="inlineStr">
        <is>
          <t>NTE240</t>
        </is>
      </c>
      <c r="D82" s="14" t="inlineStr">
        <is>
          <t>NTE</t>
        </is>
      </c>
      <c r="E82" s="14" t="inlineStr">
        <is>
          <t>NHLTBABACSB200102</t>
        </is>
      </c>
      <c r="F82" s="14" t="inlineStr">
        <is>
          <t>272</t>
        </is>
      </c>
      <c r="G82" s="14" t="inlineStr">
        <is>
          <t>факт</t>
        </is>
      </c>
      <c r="H82" s="26" t="n">
        <v>45942</v>
      </c>
      <c r="I82" s="15">
        <f>IF(D82="TR100",$D$8,IF(H82&lt;$D$5,$D$6,$D$7))</f>
        <v>24</v>
      </c>
      <c r="J82" s="26">
        <f>EDATE(H82,I82)</f>
        <v>46672</v>
      </c>
    </row>
    <row r="83">
      <c r="A83" s="14" t="n">
        <v>73</v>
      </c>
      <c r="B83" s="13" t="inlineStr">
        <is>
          <t>Полюс Красноярск</t>
        </is>
      </c>
      <c r="C83" s="14" t="inlineStr">
        <is>
          <t>NTE240</t>
        </is>
      </c>
      <c r="D83" s="14" t="inlineStr">
        <is>
          <t>NTE</t>
        </is>
      </c>
      <c r="E83" s="14" t="inlineStr">
        <is>
          <t>NHLTBABATSB200103</t>
        </is>
      </c>
      <c r="F83" s="14" t="inlineStr">
        <is>
          <t>273</t>
        </is>
      </c>
      <c r="G83" s="14" t="inlineStr">
        <is>
          <t>факт</t>
        </is>
      </c>
      <c r="H83" s="26" t="n">
        <v>45944</v>
      </c>
      <c r="I83" s="15">
        <f>IF(D83="TR100",$D$8,IF(H83&lt;$D$5,$D$6,$D$7))</f>
        <v>24</v>
      </c>
      <c r="J83" s="26">
        <f>EDATE(H83,I83)</f>
        <v>46674</v>
      </c>
    </row>
    <row r="84">
      <c r="A84" s="14" t="n">
        <v>74</v>
      </c>
      <c r="B84" s="13" t="inlineStr">
        <is>
          <t>Полюс Красноярск</t>
        </is>
      </c>
      <c r="C84" s="14" t="inlineStr">
        <is>
          <t>NTE240</t>
        </is>
      </c>
      <c r="D84" s="14" t="inlineStr">
        <is>
          <t>NTE</t>
        </is>
      </c>
      <c r="E84" s="14" t="inlineStr">
        <is>
          <t>NHLTBABAPSB200104</t>
        </is>
      </c>
      <c r="F84" s="14" t="inlineStr">
        <is>
          <t>274</t>
        </is>
      </c>
      <c r="G84" s="14" t="inlineStr">
        <is>
          <t>факт</t>
        </is>
      </c>
      <c r="H84" s="26" t="n">
        <v>45950</v>
      </c>
      <c r="I84" s="15">
        <f>IF(D84="TR100",$D$8,IF(H84&lt;$D$5,$D$6,$D$7))</f>
        <v>24</v>
      </c>
      <c r="J84" s="26">
        <f>EDATE(H84,I84)</f>
        <v>46680</v>
      </c>
    </row>
    <row r="85">
      <c r="A85" s="14" t="n">
        <v>75</v>
      </c>
      <c r="B85" s="13" t="inlineStr">
        <is>
          <t>Полюс Красноярск</t>
        </is>
      </c>
      <c r="C85" s="14" t="inlineStr">
        <is>
          <t>NTE240</t>
        </is>
      </c>
      <c r="D85" s="14" t="inlineStr">
        <is>
          <t>NTE</t>
        </is>
      </c>
      <c r="E85" s="14" t="inlineStr">
        <is>
          <t>NHLTBABAKSB200105</t>
        </is>
      </c>
      <c r="F85" s="14" t="inlineStr">
        <is>
          <t>275</t>
        </is>
      </c>
      <c r="G85" s="14" t="inlineStr">
        <is>
          <t>факт</t>
        </is>
      </c>
      <c r="H85" s="26" t="n">
        <v>45958</v>
      </c>
      <c r="I85" s="15">
        <f>IF(D85="TR100",$D$8,IF(H85&lt;$D$5,$D$6,$D$7))</f>
        <v>24</v>
      </c>
      <c r="J85" s="26">
        <f>EDATE(H85,I85)</f>
        <v>46688</v>
      </c>
    </row>
    <row r="86">
      <c r="A86" s="14" t="n">
        <v>76</v>
      </c>
      <c r="B86" s="13" t="inlineStr">
        <is>
          <t>Полюс Красноярск</t>
        </is>
      </c>
      <c r="C86" s="14" t="inlineStr">
        <is>
          <t>NTE240</t>
        </is>
      </c>
      <c r="D86" s="14" t="inlineStr">
        <is>
          <t>NTE</t>
        </is>
      </c>
      <c r="E86" s="14" t="inlineStr"/>
      <c r="F86" s="14" t="inlineStr"/>
      <c r="G86" s="14" t="inlineStr">
        <is>
          <t>план</t>
        </is>
      </c>
      <c r="H86" s="26" t="n">
        <v>46058</v>
      </c>
      <c r="I86" s="15">
        <f>IF(D86="TR100",$D$8,IF(H86&lt;$D$5,$D$6,$D$7))</f>
        <v>24</v>
      </c>
      <c r="J86" s="26">
        <f>EDATE(H86,I86)</f>
        <v>46788</v>
      </c>
    </row>
    <row r="87">
      <c r="A87" s="14" t="n">
        <v>77</v>
      </c>
      <c r="B87" s="13" t="inlineStr">
        <is>
          <t>Полюс Красноярск</t>
        </is>
      </c>
      <c r="C87" s="14" t="inlineStr">
        <is>
          <t>NTE240</t>
        </is>
      </c>
      <c r="D87" s="14" t="inlineStr">
        <is>
          <t>NTE</t>
        </is>
      </c>
      <c r="E87" s="14" t="inlineStr"/>
      <c r="F87" s="14" t="inlineStr"/>
      <c r="G87" s="14" t="inlineStr">
        <is>
          <t>план</t>
        </is>
      </c>
      <c r="H87" s="26" t="n">
        <v>46063</v>
      </c>
      <c r="I87" s="15">
        <f>IF(D87="TR100",$D$8,IF(H87&lt;$D$5,$D$6,$D$7))</f>
        <v>24</v>
      </c>
      <c r="J87" s="26">
        <f>EDATE(H87,I87)</f>
        <v>46793</v>
      </c>
    </row>
    <row r="88">
      <c r="A88" s="14" t="n">
        <v>78</v>
      </c>
      <c r="B88" s="13" t="inlineStr">
        <is>
          <t>Полюс Красноярск</t>
        </is>
      </c>
      <c r="C88" s="14" t="inlineStr">
        <is>
          <t>NTE240</t>
        </is>
      </c>
      <c r="D88" s="14" t="inlineStr">
        <is>
          <t>NTE</t>
        </is>
      </c>
      <c r="E88" s="14" t="inlineStr"/>
      <c r="F88" s="14" t="inlineStr"/>
      <c r="G88" s="14" t="inlineStr">
        <is>
          <t>план</t>
        </is>
      </c>
      <c r="H88" s="26" t="n">
        <v>46073</v>
      </c>
      <c r="I88" s="15">
        <f>IF(D88="TR100",$D$8,IF(H88&lt;$D$5,$D$6,$D$7))</f>
        <v>24</v>
      </c>
      <c r="J88" s="26">
        <f>EDATE(H88,I88)</f>
        <v>46803</v>
      </c>
    </row>
    <row r="89">
      <c r="A89" s="14" t="n">
        <v>79</v>
      </c>
      <c r="B89" s="13" t="inlineStr">
        <is>
          <t>Полюс Красноярск</t>
        </is>
      </c>
      <c r="C89" s="14" t="inlineStr">
        <is>
          <t>NTE240</t>
        </is>
      </c>
      <c r="D89" s="14" t="inlineStr">
        <is>
          <t>NTE</t>
        </is>
      </c>
      <c r="E89" s="14" t="inlineStr">
        <is>
          <t>NHLTBABACSB2A0135</t>
        </is>
      </c>
      <c r="F89" s="14" t="inlineStr">
        <is>
          <t>276</t>
        </is>
      </c>
      <c r="G89" s="14" t="inlineStr">
        <is>
          <t>факт</t>
        </is>
      </c>
      <c r="H89" s="26" t="n">
        <v>46076</v>
      </c>
      <c r="I89" s="15">
        <f>IF(D89="TR100",$D$8,IF(H89&lt;$D$5,$D$6,$D$7))</f>
        <v>24</v>
      </c>
      <c r="J89" s="26">
        <f>EDATE(H89,I89)</f>
        <v>46806</v>
      </c>
    </row>
    <row r="90">
      <c r="A90" s="14" t="n">
        <v>80</v>
      </c>
      <c r="B90" s="13" t="inlineStr">
        <is>
          <t>Полюс Красноярск</t>
        </is>
      </c>
      <c r="C90" s="14" t="inlineStr">
        <is>
          <t>NTE240</t>
        </is>
      </c>
      <c r="D90" s="14" t="inlineStr">
        <is>
          <t>NTE</t>
        </is>
      </c>
      <c r="E90" s="14" t="inlineStr">
        <is>
          <t>NHLTBABAJSB2A0134</t>
        </is>
      </c>
      <c r="F90" s="14" t="inlineStr">
        <is>
          <t>277</t>
        </is>
      </c>
      <c r="G90" s="14" t="inlineStr">
        <is>
          <t>факт</t>
        </is>
      </c>
      <c r="H90" s="26" t="n">
        <v>46078</v>
      </c>
      <c r="I90" s="15">
        <f>IF(D90="TR100",$D$8,IF(H90&lt;$D$5,$D$6,$D$7))</f>
        <v>24</v>
      </c>
      <c r="J90" s="26">
        <f>EDATE(H90,I90)</f>
        <v>46808</v>
      </c>
    </row>
    <row r="91">
      <c r="A91" s="14" t="n">
        <v>81</v>
      </c>
      <c r="B91" s="13" t="inlineStr">
        <is>
          <t>Полюс Красноярск</t>
        </is>
      </c>
      <c r="C91" s="14" t="inlineStr">
        <is>
          <t>NTE240</t>
        </is>
      </c>
      <c r="D91" s="14" t="inlineStr">
        <is>
          <t>NTE</t>
        </is>
      </c>
      <c r="E91" s="14" t="inlineStr"/>
      <c r="F91" s="14" t="inlineStr"/>
      <c r="G91" s="14" t="inlineStr">
        <is>
          <t>план</t>
        </is>
      </c>
      <c r="H91" s="26" t="n">
        <v>46081</v>
      </c>
      <c r="I91" s="15">
        <f>IF(D91="TR100",$D$8,IF(H91&lt;$D$5,$D$6,$D$7))</f>
        <v>24</v>
      </c>
      <c r="J91" s="26">
        <f>EDATE(H91,I91)</f>
        <v>46811</v>
      </c>
    </row>
    <row r="92">
      <c r="A92" s="14" t="n">
        <v>82</v>
      </c>
      <c r="B92" s="13" t="inlineStr">
        <is>
          <t>Полюс Красноярск</t>
        </is>
      </c>
      <c r="C92" s="14" t="inlineStr">
        <is>
          <t>NTE240</t>
        </is>
      </c>
      <c r="D92" s="14" t="inlineStr">
        <is>
          <t>NTE</t>
        </is>
      </c>
      <c r="E92" s="14" t="inlineStr"/>
      <c r="F92" s="14" t="inlineStr"/>
      <c r="G92" s="14" t="inlineStr">
        <is>
          <t>план</t>
        </is>
      </c>
      <c r="H92" s="26" t="n">
        <v>46086</v>
      </c>
      <c r="I92" s="15">
        <f>IF(D92="TR100",$D$8,IF(H92&lt;$D$5,$D$6,$D$7))</f>
        <v>24</v>
      </c>
      <c r="J92" s="26">
        <f>EDATE(H92,I92)</f>
        <v>46817</v>
      </c>
    </row>
    <row r="93">
      <c r="A93" s="14" t="n">
        <v>83</v>
      </c>
      <c r="B93" s="13" t="inlineStr">
        <is>
          <t>Полюс Красноярск</t>
        </is>
      </c>
      <c r="C93" s="14" t="inlineStr">
        <is>
          <t>NTE240</t>
        </is>
      </c>
      <c r="D93" s="14" t="inlineStr">
        <is>
          <t>NTE</t>
        </is>
      </c>
      <c r="E93" s="14" t="inlineStr">
        <is>
          <t>NHLTBABAKSB2A0133</t>
        </is>
      </c>
      <c r="F93" s="14" t="inlineStr">
        <is>
          <t>278</t>
        </is>
      </c>
      <c r="G93" s="14" t="inlineStr">
        <is>
          <t>факт</t>
        </is>
      </c>
      <c r="H93" s="26" t="n">
        <v>46088</v>
      </c>
      <c r="I93" s="15">
        <f>IF(D93="TR100",$D$8,IF(H93&lt;$D$5,$D$6,$D$7))</f>
        <v>24</v>
      </c>
      <c r="J93" s="26">
        <f>EDATE(H93,I93)</f>
        <v>46819</v>
      </c>
    </row>
    <row r="94">
      <c r="A94" s="14" t="n">
        <v>84</v>
      </c>
      <c r="B94" s="13" t="inlineStr">
        <is>
          <t>Полюс Красноярск</t>
        </is>
      </c>
      <c r="C94" s="14" t="inlineStr">
        <is>
          <t>NTE240</t>
        </is>
      </c>
      <c r="D94" s="14" t="inlineStr">
        <is>
          <t>NTE</t>
        </is>
      </c>
      <c r="E94" s="14" t="inlineStr"/>
      <c r="F94" s="14" t="inlineStr"/>
      <c r="G94" s="14" t="inlineStr">
        <is>
          <t>план</t>
        </is>
      </c>
      <c r="H94" s="26" t="n">
        <v>46091</v>
      </c>
      <c r="I94" s="15">
        <f>IF(D94="TR100",$D$8,IF(H94&lt;$D$5,$D$6,$D$7))</f>
        <v>24</v>
      </c>
      <c r="J94" s="26">
        <f>EDATE(H94,I94)</f>
        <v>46822</v>
      </c>
    </row>
    <row r="95">
      <c r="A95" s="14" t="n">
        <v>85</v>
      </c>
      <c r="B95" s="13" t="inlineStr">
        <is>
          <t>Полюс Красноярск</t>
        </is>
      </c>
      <c r="C95" s="14" t="inlineStr">
        <is>
          <t>NTE240</t>
        </is>
      </c>
      <c r="D95" s="14" t="inlineStr">
        <is>
          <t>NTE</t>
        </is>
      </c>
      <c r="E95" s="14" t="inlineStr"/>
      <c r="F95" s="14" t="inlineStr"/>
      <c r="G95" s="14" t="inlineStr">
        <is>
          <t>план</t>
        </is>
      </c>
      <c r="H95" s="26" t="n">
        <v>46101</v>
      </c>
      <c r="I95" s="15">
        <f>IF(D95="TR100",$D$8,IF(H95&lt;$D$5,$D$6,$D$7))</f>
        <v>24</v>
      </c>
      <c r="J95" s="26">
        <f>EDATE(H95,I95)</f>
        <v>46832</v>
      </c>
    </row>
    <row r="96">
      <c r="A96" s="14" t="n">
        <v>86</v>
      </c>
      <c r="B96" s="13" t="inlineStr">
        <is>
          <t>Полюс Красноярск</t>
        </is>
      </c>
      <c r="C96" s="14" t="inlineStr">
        <is>
          <t>NTE240</t>
        </is>
      </c>
      <c r="D96" s="14" t="inlineStr">
        <is>
          <t>NTE</t>
        </is>
      </c>
      <c r="E96" s="14" t="inlineStr">
        <is>
          <t>NHLTBABAVSB2A0136</t>
        </is>
      </c>
      <c r="F96" s="14" t="inlineStr">
        <is>
          <t>279</t>
        </is>
      </c>
      <c r="G96" s="14" t="inlineStr">
        <is>
          <t>факт</t>
        </is>
      </c>
      <c r="H96" s="26" t="n">
        <v>46102</v>
      </c>
      <c r="I96" s="15">
        <f>IF(D96="TR100",$D$8,IF(H96&lt;$D$5,$D$6,$D$7))</f>
        <v>24</v>
      </c>
      <c r="J96" s="26">
        <f>EDATE(H96,I96)</f>
        <v>46833</v>
      </c>
    </row>
    <row r="97">
      <c r="A97" s="14" t="n">
        <v>87</v>
      </c>
      <c r="B97" s="13" t="inlineStr">
        <is>
          <t>Полюс Красноярск</t>
        </is>
      </c>
      <c r="C97" s="14" t="inlineStr">
        <is>
          <t>NTE240</t>
        </is>
      </c>
      <c r="D97" s="14" t="inlineStr">
        <is>
          <t>NTE</t>
        </is>
      </c>
      <c r="E97" s="14" t="inlineStr">
        <is>
          <t>NHLTBABAHSB2A0139</t>
        </is>
      </c>
      <c r="F97" s="14" t="inlineStr">
        <is>
          <t>280</t>
        </is>
      </c>
      <c r="G97" s="14" t="inlineStr">
        <is>
          <t>факт</t>
        </is>
      </c>
      <c r="H97" s="26" t="n">
        <v>46106</v>
      </c>
      <c r="I97" s="15">
        <f>IF(D97="TR100",$D$8,IF(H97&lt;$D$5,$D$6,$D$7))</f>
        <v>24</v>
      </c>
      <c r="J97" s="26">
        <f>EDATE(H97,I97)</f>
        <v>46837</v>
      </c>
    </row>
    <row r="98">
      <c r="A98" s="14" t="n">
        <v>88</v>
      </c>
      <c r="B98" s="13" t="inlineStr">
        <is>
          <t>Полюс Красноярск</t>
        </is>
      </c>
      <c r="C98" s="14" t="inlineStr">
        <is>
          <t>NTE240</t>
        </is>
      </c>
      <c r="D98" s="14" t="inlineStr">
        <is>
          <t>NTE</t>
        </is>
      </c>
      <c r="E98" s="14" t="inlineStr">
        <is>
          <t>NHLTBABAASB2A0137</t>
        </is>
      </c>
      <c r="F98" s="14" t="inlineStr">
        <is>
          <t>281</t>
        </is>
      </c>
      <c r="G98" s="14" t="inlineStr">
        <is>
          <t>факт</t>
        </is>
      </c>
      <c r="H98" s="26" t="n">
        <v>46109</v>
      </c>
      <c r="I98" s="15">
        <f>IF(D98="TR100",$D$8,IF(H98&lt;$D$5,$D$6,$D$7))</f>
        <v>24</v>
      </c>
      <c r="J98" s="26">
        <f>EDATE(H98,I98)</f>
        <v>46840</v>
      </c>
    </row>
    <row r="99">
      <c r="A99" s="14" t="n">
        <v>89</v>
      </c>
      <c r="B99" s="13" t="inlineStr">
        <is>
          <t>Полюс Красноярск</t>
        </is>
      </c>
      <c r="C99" s="14" t="inlineStr">
        <is>
          <t>NTE240</t>
        </is>
      </c>
      <c r="D99" s="14" t="inlineStr">
        <is>
          <t>NTE</t>
        </is>
      </c>
      <c r="E99" s="14" t="inlineStr"/>
      <c r="F99" s="14" t="inlineStr"/>
      <c r="G99" s="14" t="inlineStr">
        <is>
          <t>план</t>
        </is>
      </c>
      <c r="H99" s="26" t="n">
        <v>46109</v>
      </c>
      <c r="I99" s="15">
        <f>IF(D99="TR100",$D$8,IF(H99&lt;$D$5,$D$6,$D$7))</f>
        <v>24</v>
      </c>
      <c r="J99" s="26">
        <f>EDATE(H99,I99)</f>
        <v>46840</v>
      </c>
    </row>
    <row r="100">
      <c r="A100" s="14" t="n">
        <v>90</v>
      </c>
      <c r="B100" s="13" t="inlineStr">
        <is>
          <t>Полюс Красноярск</t>
        </is>
      </c>
      <c r="C100" s="14" t="inlineStr">
        <is>
          <t>NTE240</t>
        </is>
      </c>
      <c r="D100" s="14" t="inlineStr">
        <is>
          <t>NTE</t>
        </is>
      </c>
      <c r="E100" s="14" t="inlineStr">
        <is>
          <t>NHLTBABALSB2A0141</t>
        </is>
      </c>
      <c r="F100" s="14" t="inlineStr">
        <is>
          <t>282</t>
        </is>
      </c>
      <c r="G100" s="14" t="inlineStr">
        <is>
          <t>факт</t>
        </is>
      </c>
      <c r="H100" s="26" t="n">
        <v>46117</v>
      </c>
      <c r="I100" s="15">
        <f>IF(D100="TR100",$D$8,IF(H100&lt;$D$5,$D$6,$D$7))</f>
        <v>24</v>
      </c>
      <c r="J100" s="26">
        <f>EDATE(H100,I100)</f>
        <v>46848</v>
      </c>
    </row>
    <row r="101">
      <c r="A101" s="14" t="n">
        <v>91</v>
      </c>
      <c r="B101" s="13" t="inlineStr">
        <is>
          <t>Полюс Красноярск</t>
        </is>
      </c>
      <c r="C101" s="14" t="inlineStr">
        <is>
          <t>NTE240</t>
        </is>
      </c>
      <c r="D101" s="14" t="inlineStr">
        <is>
          <t>NTE</t>
        </is>
      </c>
      <c r="E101" s="14" t="inlineStr">
        <is>
          <t>NHLTBABACSB2A0144</t>
        </is>
      </c>
      <c r="F101" s="14" t="inlineStr">
        <is>
          <t>283</t>
        </is>
      </c>
      <c r="G101" s="14" t="inlineStr">
        <is>
          <t>факт</t>
        </is>
      </c>
      <c r="H101" s="26" t="n">
        <v>46120</v>
      </c>
      <c r="I101" s="15">
        <f>IF(D101="TR100",$D$8,IF(H101&lt;$D$5,$D$6,$D$7))</f>
        <v>24</v>
      </c>
      <c r="J101" s="26">
        <f>EDATE(H101,I101)</f>
        <v>46851</v>
      </c>
    </row>
    <row r="102">
      <c r="A102" s="14" t="n">
        <v>92</v>
      </c>
      <c r="B102" s="13" t="inlineStr">
        <is>
          <t>Полюс Красноярск</t>
        </is>
      </c>
      <c r="C102" s="14" t="inlineStr">
        <is>
          <t>NTE240</t>
        </is>
      </c>
      <c r="D102" s="14" t="inlineStr">
        <is>
          <t>NTE</t>
        </is>
      </c>
      <c r="E102" s="14" t="inlineStr"/>
      <c r="F102" s="14" t="inlineStr">
        <is>
          <t>285</t>
        </is>
      </c>
      <c r="G102" s="14" t="inlineStr">
        <is>
          <t>план</t>
        </is>
      </c>
      <c r="H102" s="26" t="n">
        <v>46124</v>
      </c>
      <c r="I102" s="15">
        <f>IF(D102="TR100",$D$8,IF(H102&lt;$D$5,$D$6,$D$7))</f>
        <v>24</v>
      </c>
      <c r="J102" s="26">
        <f>EDATE(H102,I102)</f>
        <v>46855</v>
      </c>
    </row>
    <row r="103">
      <c r="A103" s="14" t="n">
        <v>93</v>
      </c>
      <c r="B103" s="13" t="inlineStr">
        <is>
          <t>Полюс Красноярск</t>
        </is>
      </c>
      <c r="C103" s="14" t="inlineStr">
        <is>
          <t>NTE240</t>
        </is>
      </c>
      <c r="D103" s="14" t="inlineStr">
        <is>
          <t>NTE</t>
        </is>
      </c>
      <c r="E103" s="14" t="inlineStr"/>
      <c r="F103" s="14" t="inlineStr">
        <is>
          <t>286</t>
        </is>
      </c>
      <c r="G103" s="14" t="inlineStr">
        <is>
          <t>план</t>
        </is>
      </c>
      <c r="H103" s="26" t="n">
        <v>46129</v>
      </c>
      <c r="I103" s="15">
        <f>IF(D103="TR100",$D$8,IF(H103&lt;$D$5,$D$6,$D$7))</f>
        <v>24</v>
      </c>
      <c r="J103" s="26">
        <f>EDATE(H103,I103)</f>
        <v>46860</v>
      </c>
    </row>
    <row r="104">
      <c r="A104" s="14" t="n">
        <v>94</v>
      </c>
      <c r="B104" s="13" t="inlineStr">
        <is>
          <t>Полюс Красноярск</t>
        </is>
      </c>
      <c r="C104" s="14" t="inlineStr">
        <is>
          <t>NTE240</t>
        </is>
      </c>
      <c r="D104" s="14" t="inlineStr">
        <is>
          <t>NTE</t>
        </is>
      </c>
      <c r="E104" s="14" t="inlineStr"/>
      <c r="F104" s="14" t="inlineStr">
        <is>
          <t>287</t>
        </is>
      </c>
      <c r="G104" s="14" t="inlineStr">
        <is>
          <t>план</t>
        </is>
      </c>
      <c r="H104" s="26" t="n">
        <v>46130</v>
      </c>
      <c r="I104" s="15">
        <f>IF(D104="TR100",$D$8,IF(H104&lt;$D$5,$D$6,$D$7))</f>
        <v>24</v>
      </c>
      <c r="J104" s="26">
        <f>EDATE(H104,I104)</f>
        <v>46861</v>
      </c>
    </row>
    <row r="105">
      <c r="A105" s="14" t="n">
        <v>95</v>
      </c>
      <c r="B105" s="13" t="inlineStr">
        <is>
          <t>Полюс Красноярск</t>
        </is>
      </c>
      <c r="C105" s="14" t="inlineStr">
        <is>
          <t>NTE240</t>
        </is>
      </c>
      <c r="D105" s="14" t="inlineStr">
        <is>
          <t>NTE</t>
        </is>
      </c>
      <c r="E105" s="14" t="inlineStr"/>
      <c r="F105" s="14" t="inlineStr">
        <is>
          <t>288</t>
        </is>
      </c>
      <c r="G105" s="14" t="inlineStr">
        <is>
          <t>план</t>
        </is>
      </c>
      <c r="H105" s="26" t="n">
        <v>46135</v>
      </c>
      <c r="I105" s="15">
        <f>IF(D105="TR100",$D$8,IF(H105&lt;$D$5,$D$6,$D$7))</f>
        <v>24</v>
      </c>
      <c r="J105" s="26">
        <f>EDATE(H105,I105)</f>
        <v>46866</v>
      </c>
    </row>
    <row r="106">
      <c r="A106" s="14" t="n">
        <v>96</v>
      </c>
      <c r="B106" s="13" t="inlineStr">
        <is>
          <t>Полюс Красноярск</t>
        </is>
      </c>
      <c r="C106" s="14" t="inlineStr">
        <is>
          <t>NTE240</t>
        </is>
      </c>
      <c r="D106" s="14" t="inlineStr">
        <is>
          <t>NTE</t>
        </is>
      </c>
      <c r="E106" s="14" t="inlineStr"/>
      <c r="F106" s="14" t="inlineStr">
        <is>
          <t>289</t>
        </is>
      </c>
      <c r="G106" s="14" t="inlineStr">
        <is>
          <t>план</t>
        </is>
      </c>
      <c r="H106" s="26" t="n">
        <v>46143</v>
      </c>
      <c r="I106" s="15">
        <f>IF(D106="TR100",$D$8,IF(H106&lt;$D$5,$D$6,$D$7))</f>
        <v>24</v>
      </c>
      <c r="J106" s="26">
        <f>EDATE(H106,I106)</f>
        <v>46874</v>
      </c>
    </row>
    <row r="107">
      <c r="A107" s="14" t="n">
        <v>97</v>
      </c>
      <c r="B107" s="13" t="inlineStr">
        <is>
          <t>Полюс Красноярск</t>
        </is>
      </c>
      <c r="C107" s="14" t="inlineStr">
        <is>
          <t>NTE240</t>
        </is>
      </c>
      <c r="D107" s="14" t="inlineStr">
        <is>
          <t>NTE</t>
        </is>
      </c>
      <c r="E107" s="14" t="inlineStr"/>
      <c r="F107" s="14" t="inlineStr">
        <is>
          <t>290</t>
        </is>
      </c>
      <c r="G107" s="14" t="inlineStr">
        <is>
          <t>план</t>
        </is>
      </c>
      <c r="H107" s="26" t="n">
        <v>46147</v>
      </c>
      <c r="I107" s="15">
        <f>IF(D107="TR100",$D$8,IF(H107&lt;$D$5,$D$6,$D$7))</f>
        <v>24</v>
      </c>
      <c r="J107" s="26">
        <f>EDATE(H107,I107)</f>
        <v>46878</v>
      </c>
    </row>
    <row r="108">
      <c r="A108" s="14" t="n">
        <v>98</v>
      </c>
      <c r="B108" s="13" t="inlineStr">
        <is>
          <t>Полюс Красноярск</t>
        </is>
      </c>
      <c r="C108" s="14" t="inlineStr">
        <is>
          <t>NTE240</t>
        </is>
      </c>
      <c r="D108" s="14" t="inlineStr">
        <is>
          <t>NTE</t>
        </is>
      </c>
      <c r="E108" s="14" t="inlineStr"/>
      <c r="F108" s="14" t="inlineStr">
        <is>
          <t>291</t>
        </is>
      </c>
      <c r="G108" s="14" t="inlineStr">
        <is>
          <t>план</t>
        </is>
      </c>
      <c r="H108" s="26" t="n">
        <v>46152</v>
      </c>
      <c r="I108" s="15">
        <f>IF(D108="TR100",$D$8,IF(H108&lt;$D$5,$D$6,$D$7))</f>
        <v>24</v>
      </c>
      <c r="J108" s="26">
        <f>EDATE(H108,I108)</f>
        <v>46883</v>
      </c>
    </row>
    <row r="109">
      <c r="A109" s="14" t="n">
        <v>99</v>
      </c>
      <c r="B109" s="13" t="inlineStr">
        <is>
          <t>Полюс Красноярск</t>
        </is>
      </c>
      <c r="C109" s="14" t="inlineStr">
        <is>
          <t>NTE240</t>
        </is>
      </c>
      <c r="D109" s="14" t="inlineStr">
        <is>
          <t>NTE</t>
        </is>
      </c>
      <c r="E109" s="14" t="inlineStr"/>
      <c r="F109" s="14" t="inlineStr">
        <is>
          <t>293</t>
        </is>
      </c>
      <c r="G109" s="14" t="inlineStr">
        <is>
          <t>план</t>
        </is>
      </c>
      <c r="H109" s="26" t="n">
        <v>46157</v>
      </c>
      <c r="I109" s="15">
        <f>IF(D109="TR100",$D$8,IF(H109&lt;$D$5,$D$6,$D$7))</f>
        <v>24</v>
      </c>
      <c r="J109" s="26">
        <f>EDATE(H109,I109)</f>
        <v>46888</v>
      </c>
    </row>
    <row r="110">
      <c r="A110" s="14" t="n">
        <v>100</v>
      </c>
      <c r="B110" s="13" t="inlineStr">
        <is>
          <t>Полюс Красноярск</t>
        </is>
      </c>
      <c r="C110" s="14" t="inlineStr">
        <is>
          <t>NTE240</t>
        </is>
      </c>
      <c r="D110" s="14" t="inlineStr">
        <is>
          <t>NTE</t>
        </is>
      </c>
      <c r="E110" s="14" t="inlineStr"/>
      <c r="F110" s="14" t="inlineStr">
        <is>
          <t>294</t>
        </is>
      </c>
      <c r="G110" s="14" t="inlineStr">
        <is>
          <t>план</t>
        </is>
      </c>
      <c r="H110" s="26" t="n">
        <v>46159</v>
      </c>
      <c r="I110" s="15">
        <f>IF(D110="TR100",$D$8,IF(H110&lt;$D$5,$D$6,$D$7))</f>
        <v>24</v>
      </c>
      <c r="J110" s="26">
        <f>EDATE(H110,I110)</f>
        <v>46890</v>
      </c>
    </row>
    <row r="111">
      <c r="A111" s="14" t="n">
        <v>101</v>
      </c>
      <c r="B111" s="13" t="inlineStr">
        <is>
          <t>Полюс Красноярск</t>
        </is>
      </c>
      <c r="C111" s="14" t="inlineStr">
        <is>
          <t>NTE240</t>
        </is>
      </c>
      <c r="D111" s="14" t="inlineStr">
        <is>
          <t>NTE</t>
        </is>
      </c>
      <c r="E111" s="14" t="inlineStr"/>
      <c r="F111" s="14" t="inlineStr">
        <is>
          <t>295</t>
        </is>
      </c>
      <c r="G111" s="14" t="inlineStr">
        <is>
          <t>план</t>
        </is>
      </c>
      <c r="H111" s="26" t="n">
        <v>46174</v>
      </c>
      <c r="I111" s="15">
        <f>IF(D111="TR100",$D$8,IF(H111&lt;$D$5,$D$6,$D$7))</f>
        <v>24</v>
      </c>
      <c r="J111" s="26">
        <f>EDATE(H111,I111)</f>
        <v>46905</v>
      </c>
    </row>
    <row r="112">
      <c r="A112" s="14" t="n">
        <v>102</v>
      </c>
      <c r="B112" s="13" t="inlineStr">
        <is>
          <t>Полюс Красноярск</t>
        </is>
      </c>
      <c r="C112" s="14" t="inlineStr">
        <is>
          <t>NTE240</t>
        </is>
      </c>
      <c r="D112" s="14" t="inlineStr">
        <is>
          <t>NTE</t>
        </is>
      </c>
      <c r="E112" s="14" t="inlineStr"/>
      <c r="F112" s="14" t="inlineStr">
        <is>
          <t>296</t>
        </is>
      </c>
      <c r="G112" s="14" t="inlineStr">
        <is>
          <t>план</t>
        </is>
      </c>
      <c r="H112" s="26" t="n">
        <v>46176</v>
      </c>
      <c r="I112" s="15">
        <f>IF(D112="TR100",$D$8,IF(H112&lt;$D$5,$D$6,$D$7))</f>
        <v>24</v>
      </c>
      <c r="J112" s="26">
        <f>EDATE(H112,I112)</f>
        <v>46907</v>
      </c>
    </row>
    <row r="113">
      <c r="A113" s="14" t="n">
        <v>103</v>
      </c>
      <c r="B113" s="13" t="inlineStr">
        <is>
          <t>Полюс Красноярск</t>
        </is>
      </c>
      <c r="C113" s="14" t="inlineStr">
        <is>
          <t>NTE240</t>
        </is>
      </c>
      <c r="D113" s="14" t="inlineStr">
        <is>
          <t>NTE</t>
        </is>
      </c>
      <c r="E113" s="14" t="inlineStr"/>
      <c r="F113" s="14" t="inlineStr">
        <is>
          <t>297</t>
        </is>
      </c>
      <c r="G113" s="14" t="inlineStr">
        <is>
          <t>план</t>
        </is>
      </c>
      <c r="H113" s="26" t="n">
        <v>46178</v>
      </c>
      <c r="I113" s="15">
        <f>IF(D113="TR100",$D$8,IF(H113&lt;$D$5,$D$6,$D$7))</f>
        <v>24</v>
      </c>
      <c r="J113" s="26">
        <f>EDATE(H113,I113)</f>
        <v>46909</v>
      </c>
    </row>
    <row r="114">
      <c r="A114" s="14" t="n">
        <v>104</v>
      </c>
      <c r="B114" s="13" t="inlineStr">
        <is>
          <t>Полюс Красноярск</t>
        </is>
      </c>
      <c r="C114" s="14" t="inlineStr">
        <is>
          <t>NTE240</t>
        </is>
      </c>
      <c r="D114" s="14" t="inlineStr">
        <is>
          <t>NTE</t>
        </is>
      </c>
      <c r="E114" s="14" t="inlineStr"/>
      <c r="F114" s="14" t="inlineStr">
        <is>
          <t>298</t>
        </is>
      </c>
      <c r="G114" s="14" t="inlineStr">
        <is>
          <t>план</t>
        </is>
      </c>
      <c r="H114" s="26" t="n">
        <v>46183</v>
      </c>
      <c r="I114" s="15">
        <f>IF(D114="TR100",$D$8,IF(H114&lt;$D$5,$D$6,$D$7))</f>
        <v>24</v>
      </c>
      <c r="J114" s="26">
        <f>EDATE(H114,I114)</f>
        <v>46914</v>
      </c>
    </row>
    <row r="115">
      <c r="A115" s="14" t="n">
        <v>105</v>
      </c>
      <c r="B115" s="13" t="inlineStr">
        <is>
          <t>Полюс Красноярск</t>
        </is>
      </c>
      <c r="C115" s="14" t="inlineStr">
        <is>
          <t>NTE240</t>
        </is>
      </c>
      <c r="D115" s="14" t="inlineStr">
        <is>
          <t>NTE</t>
        </is>
      </c>
      <c r="E115" s="14" t="inlineStr"/>
      <c r="F115" s="14" t="inlineStr">
        <is>
          <t>299</t>
        </is>
      </c>
      <c r="G115" s="14" t="inlineStr">
        <is>
          <t>план</t>
        </is>
      </c>
      <c r="H115" s="26" t="n">
        <v>46185</v>
      </c>
      <c r="I115" s="15">
        <f>IF(D115="TR100",$D$8,IF(H115&lt;$D$5,$D$6,$D$7))</f>
        <v>24</v>
      </c>
      <c r="J115" s="26">
        <f>EDATE(H115,I115)</f>
        <v>46916</v>
      </c>
    </row>
    <row r="116">
      <c r="A116" s="14" t="n">
        <v>106</v>
      </c>
      <c r="B116" s="13" t="inlineStr">
        <is>
          <t>Полюс Красноярск</t>
        </is>
      </c>
      <c r="C116" s="14" t="inlineStr">
        <is>
          <t>NTE240</t>
        </is>
      </c>
      <c r="D116" s="14" t="inlineStr">
        <is>
          <t>NTE</t>
        </is>
      </c>
      <c r="E116" s="14" t="inlineStr"/>
      <c r="F116" s="14" t="inlineStr">
        <is>
          <t>607</t>
        </is>
      </c>
      <c r="G116" s="14" t="inlineStr">
        <is>
          <t>план</t>
        </is>
      </c>
      <c r="H116" s="26" t="n">
        <v>46188</v>
      </c>
      <c r="I116" s="15">
        <f>IF(D116="TR100",$D$8,IF(H116&lt;$D$5,$D$6,$D$7))</f>
        <v>24</v>
      </c>
      <c r="J116" s="26">
        <f>EDATE(H116,I116)</f>
        <v>46919</v>
      </c>
    </row>
    <row r="117">
      <c r="A117" s="14" t="n">
        <v>107</v>
      </c>
      <c r="B117" s="13" t="inlineStr">
        <is>
          <t>Полюс Красноярск</t>
        </is>
      </c>
      <c r="C117" s="14" t="inlineStr">
        <is>
          <t>NTE240</t>
        </is>
      </c>
      <c r="D117" s="14" t="inlineStr">
        <is>
          <t>NTE</t>
        </is>
      </c>
      <c r="E117" s="14" t="inlineStr"/>
      <c r="F117" s="14" t="inlineStr">
        <is>
          <t>608</t>
        </is>
      </c>
      <c r="G117" s="14" t="inlineStr">
        <is>
          <t>план</t>
        </is>
      </c>
      <c r="H117" s="26" t="n">
        <v>46205</v>
      </c>
      <c r="I117" s="15">
        <f>IF(D117="TR100",$D$8,IF(H117&lt;$D$5,$D$6,$D$7))</f>
        <v>24</v>
      </c>
      <c r="J117" s="26">
        <f>EDATE(H117,I117)</f>
        <v>46936</v>
      </c>
    </row>
    <row r="118">
      <c r="A118" s="14" t="n">
        <v>108</v>
      </c>
      <c r="B118" s="13" t="inlineStr">
        <is>
          <t>Полюс Красноярск</t>
        </is>
      </c>
      <c r="C118" s="14" t="inlineStr">
        <is>
          <t>NTE240</t>
        </is>
      </c>
      <c r="D118" s="14" t="inlineStr">
        <is>
          <t>NTE</t>
        </is>
      </c>
      <c r="E118" s="14" t="inlineStr"/>
      <c r="F118" s="14" t="inlineStr">
        <is>
          <t>609</t>
        </is>
      </c>
      <c r="G118" s="14" t="inlineStr">
        <is>
          <t>план</t>
        </is>
      </c>
      <c r="H118" s="26" t="n">
        <v>46208</v>
      </c>
      <c r="I118" s="15">
        <f>IF(D118="TR100",$D$8,IF(H118&lt;$D$5,$D$6,$D$7))</f>
        <v>24</v>
      </c>
      <c r="J118" s="26">
        <f>EDATE(H118,I118)</f>
        <v>46939</v>
      </c>
    </row>
    <row r="119">
      <c r="A119" s="14" t="n">
        <v>109</v>
      </c>
      <c r="B119" s="13" t="inlineStr">
        <is>
          <t>Полюс Красноярск</t>
        </is>
      </c>
      <c r="C119" s="14" t="inlineStr">
        <is>
          <t>NTE240</t>
        </is>
      </c>
      <c r="D119" s="14" t="inlineStr">
        <is>
          <t>NTE</t>
        </is>
      </c>
      <c r="E119" s="14" t="inlineStr"/>
      <c r="F119" s="14" t="inlineStr">
        <is>
          <t>610</t>
        </is>
      </c>
      <c r="G119" s="14" t="inlineStr">
        <is>
          <t>план</t>
        </is>
      </c>
      <c r="H119" s="26" t="n">
        <v>46328</v>
      </c>
      <c r="I119" s="15">
        <f>IF(D119="TR100",$D$8,IF(H119&lt;$D$5,$D$6,$D$7))</f>
        <v>24</v>
      </c>
      <c r="J119" s="26">
        <f>EDATE(H119,I119)</f>
        <v>47059</v>
      </c>
    </row>
    <row r="120">
      <c r="A120" s="14" t="n">
        <v>110</v>
      </c>
      <c r="B120" s="13" t="inlineStr">
        <is>
          <t>Полюс Красноярск</t>
        </is>
      </c>
      <c r="C120" s="14" t="inlineStr">
        <is>
          <t>NTE240</t>
        </is>
      </c>
      <c r="D120" s="14" t="inlineStr">
        <is>
          <t>NTE</t>
        </is>
      </c>
      <c r="E120" s="14" t="inlineStr"/>
      <c r="F120" s="14" t="inlineStr">
        <is>
          <t>611</t>
        </is>
      </c>
      <c r="G120" s="14" t="inlineStr">
        <is>
          <t>план</t>
        </is>
      </c>
      <c r="H120" s="26" t="n">
        <v>46328</v>
      </c>
      <c r="I120" s="15">
        <f>IF(D120="TR100",$D$8,IF(H120&lt;$D$5,$D$6,$D$7))</f>
        <v>24</v>
      </c>
      <c r="J120" s="26">
        <f>EDATE(H120,I120)</f>
        <v>47059</v>
      </c>
    </row>
    <row r="121">
      <c r="A121" s="14" t="n">
        <v>111</v>
      </c>
      <c r="B121" s="13" t="inlineStr">
        <is>
          <t>Полюс Красноярск</t>
        </is>
      </c>
      <c r="C121" s="14" t="inlineStr">
        <is>
          <t>NTE240</t>
        </is>
      </c>
      <c r="D121" s="14" t="inlineStr">
        <is>
          <t>NTE</t>
        </is>
      </c>
      <c r="E121" s="14" t="inlineStr"/>
      <c r="F121" s="14" t="inlineStr">
        <is>
          <t>612</t>
        </is>
      </c>
      <c r="G121" s="14" t="inlineStr">
        <is>
          <t>план</t>
        </is>
      </c>
      <c r="H121" s="26" t="n">
        <v>46331</v>
      </c>
      <c r="I121" s="15">
        <f>IF(D121="TR100",$D$8,IF(H121&lt;$D$5,$D$6,$D$7))</f>
        <v>24</v>
      </c>
      <c r="J121" s="26">
        <f>EDATE(H121,I121)</f>
        <v>47062</v>
      </c>
    </row>
    <row r="122">
      <c r="A122" s="14" t="n">
        <v>112</v>
      </c>
      <c r="B122" s="13" t="inlineStr">
        <is>
          <t>Полюс Красноярск</t>
        </is>
      </c>
      <c r="C122" s="14" t="inlineStr">
        <is>
          <t>NTE240</t>
        </is>
      </c>
      <c r="D122" s="14" t="inlineStr">
        <is>
          <t>NTE</t>
        </is>
      </c>
      <c r="E122" s="14" t="inlineStr"/>
      <c r="F122" s="14" t="inlineStr">
        <is>
          <t>614</t>
        </is>
      </c>
      <c r="G122" s="14" t="inlineStr">
        <is>
          <t>план</t>
        </is>
      </c>
      <c r="H122" s="26" t="n">
        <v>46333</v>
      </c>
      <c r="I122" s="15">
        <f>IF(D122="TR100",$D$8,IF(H122&lt;$D$5,$D$6,$D$7))</f>
        <v>24</v>
      </c>
      <c r="J122" s="26">
        <f>EDATE(H122,I122)</f>
        <v>47064</v>
      </c>
    </row>
    <row r="123">
      <c r="A123" s="14" t="n">
        <v>113</v>
      </c>
      <c r="B123" s="13" t="inlineStr">
        <is>
          <t>Полюс Красноярск</t>
        </is>
      </c>
      <c r="C123" s="14" t="inlineStr">
        <is>
          <t>NTE240</t>
        </is>
      </c>
      <c r="D123" s="14" t="inlineStr">
        <is>
          <t>NTE</t>
        </is>
      </c>
      <c r="E123" s="14" t="inlineStr"/>
      <c r="F123" s="14" t="inlineStr">
        <is>
          <t>615</t>
        </is>
      </c>
      <c r="G123" s="14" t="inlineStr">
        <is>
          <t>план</t>
        </is>
      </c>
      <c r="H123" s="26" t="n">
        <v>46335</v>
      </c>
      <c r="I123" s="15">
        <f>IF(D123="TR100",$D$8,IF(H123&lt;$D$5,$D$6,$D$7))</f>
        <v>24</v>
      </c>
      <c r="J123" s="26">
        <f>EDATE(H123,I123)</f>
        <v>47066</v>
      </c>
    </row>
    <row r="124">
      <c r="A124" s="14" t="n">
        <v>114</v>
      </c>
      <c r="B124" s="13" t="inlineStr">
        <is>
          <t>Полюс Красноярск</t>
        </is>
      </c>
      <c r="C124" s="14" t="inlineStr">
        <is>
          <t>NTE240</t>
        </is>
      </c>
      <c r="D124" s="14" t="inlineStr">
        <is>
          <t>NTE</t>
        </is>
      </c>
      <c r="E124" s="14" t="inlineStr"/>
      <c r="F124" s="14" t="inlineStr">
        <is>
          <t>616</t>
        </is>
      </c>
      <c r="G124" s="14" t="inlineStr">
        <is>
          <t>план</t>
        </is>
      </c>
      <c r="H124" s="26" t="n">
        <v>46338</v>
      </c>
      <c r="I124" s="15">
        <f>IF(D124="TR100",$D$8,IF(H124&lt;$D$5,$D$6,$D$7))</f>
        <v>24</v>
      </c>
      <c r="J124" s="26">
        <f>EDATE(H124,I124)</f>
        <v>47069</v>
      </c>
    </row>
    <row r="125">
      <c r="A125" s="14" t="n">
        <v>115</v>
      </c>
      <c r="B125" s="13" t="inlineStr">
        <is>
          <t>Полюс Красноярск</t>
        </is>
      </c>
      <c r="C125" s="14" t="inlineStr">
        <is>
          <t>NTE240</t>
        </is>
      </c>
      <c r="D125" s="14" t="inlineStr">
        <is>
          <t>NTE</t>
        </is>
      </c>
      <c r="E125" s="14" t="inlineStr"/>
      <c r="F125" s="14" t="inlineStr">
        <is>
          <t>617</t>
        </is>
      </c>
      <c r="G125" s="14" t="inlineStr">
        <is>
          <t>план</t>
        </is>
      </c>
      <c r="H125" s="26" t="n">
        <v>46357</v>
      </c>
      <c r="I125" s="15">
        <f>IF(D125="TR100",$D$8,IF(H125&lt;$D$5,$D$6,$D$7))</f>
        <v>24</v>
      </c>
      <c r="J125" s="26">
        <f>EDATE(H125,I125)</f>
        <v>47088</v>
      </c>
    </row>
    <row r="126">
      <c r="A126" s="14" t="n">
        <v>116</v>
      </c>
      <c r="B126" s="13" t="inlineStr">
        <is>
          <t>Полюс Красноярск</t>
        </is>
      </c>
      <c r="C126" s="14" t="inlineStr">
        <is>
          <t>NTE240</t>
        </is>
      </c>
      <c r="D126" s="14" t="inlineStr">
        <is>
          <t>NTE</t>
        </is>
      </c>
      <c r="E126" s="14" t="inlineStr"/>
      <c r="F126" s="14" t="inlineStr">
        <is>
          <t>618</t>
        </is>
      </c>
      <c r="G126" s="14" t="inlineStr">
        <is>
          <t>план</t>
        </is>
      </c>
      <c r="H126" s="26" t="n">
        <v>46357</v>
      </c>
      <c r="I126" s="15">
        <f>IF(D126="TR100",$D$8,IF(H126&lt;$D$5,$D$6,$D$7))</f>
        <v>24</v>
      </c>
      <c r="J126" s="26">
        <f>EDATE(H126,I126)</f>
        <v>47088</v>
      </c>
    </row>
    <row r="127">
      <c r="A127" s="14" t="n">
        <v>117</v>
      </c>
      <c r="B127" s="13" t="inlineStr">
        <is>
          <t>Полюс Красноярск</t>
        </is>
      </c>
      <c r="C127" s="14" t="inlineStr">
        <is>
          <t>NTE240</t>
        </is>
      </c>
      <c r="D127" s="14" t="inlineStr">
        <is>
          <t>NTE</t>
        </is>
      </c>
      <c r="E127" s="14" t="inlineStr"/>
      <c r="F127" s="14" t="inlineStr">
        <is>
          <t>619</t>
        </is>
      </c>
      <c r="G127" s="14" t="inlineStr">
        <is>
          <t>план</t>
        </is>
      </c>
      <c r="H127" s="26" t="n">
        <v>46361</v>
      </c>
      <c r="I127" s="15">
        <f>IF(D127="TR100",$D$8,IF(H127&lt;$D$5,$D$6,$D$7))</f>
        <v>24</v>
      </c>
      <c r="J127" s="26">
        <f>EDATE(H127,I127)</f>
        <v>47092</v>
      </c>
    </row>
    <row r="128">
      <c r="A128" s="14" t="n">
        <v>118</v>
      </c>
      <c r="B128" s="13" t="inlineStr">
        <is>
          <t>Полюс Красноярск</t>
        </is>
      </c>
      <c r="C128" s="14" t="inlineStr">
        <is>
          <t>NTE240</t>
        </is>
      </c>
      <c r="D128" s="14" t="inlineStr">
        <is>
          <t>NTE</t>
        </is>
      </c>
      <c r="E128" s="14" t="inlineStr"/>
      <c r="F128" s="14" t="inlineStr">
        <is>
          <t>620</t>
        </is>
      </c>
      <c r="G128" s="14" t="inlineStr">
        <is>
          <t>план</t>
        </is>
      </c>
      <c r="H128" s="26" t="n">
        <v>46361</v>
      </c>
      <c r="I128" s="15">
        <f>IF(D128="TR100",$D$8,IF(H128&lt;$D$5,$D$6,$D$7))</f>
        <v>24</v>
      </c>
      <c r="J128" s="26">
        <f>EDATE(H128,I128)</f>
        <v>47092</v>
      </c>
    </row>
    <row r="129">
      <c r="A129" s="14" t="n">
        <v>119</v>
      </c>
      <c r="B129" s="13" t="inlineStr">
        <is>
          <t>Полюс Красноярск</t>
        </is>
      </c>
      <c r="C129" s="14" t="inlineStr">
        <is>
          <t>NTE240</t>
        </is>
      </c>
      <c r="D129" s="14" t="inlineStr">
        <is>
          <t>NTE</t>
        </is>
      </c>
      <c r="E129" s="14" t="inlineStr"/>
      <c r="F129" s="14" t="inlineStr">
        <is>
          <t>621</t>
        </is>
      </c>
      <c r="G129" s="14" t="inlineStr">
        <is>
          <t>план</t>
        </is>
      </c>
      <c r="H129" s="26" t="n">
        <v>46366</v>
      </c>
      <c r="I129" s="15">
        <f>IF(D129="TR100",$D$8,IF(H129&lt;$D$5,$D$6,$D$7))</f>
        <v>24</v>
      </c>
      <c r="J129" s="26">
        <f>EDATE(H129,I129)</f>
        <v>47097</v>
      </c>
    </row>
    <row r="130">
      <c r="A130" s="14" t="n">
        <v>120</v>
      </c>
      <c r="B130" s="13" t="inlineStr">
        <is>
          <t>Полюс Красноярск</t>
        </is>
      </c>
      <c r="C130" s="14" t="inlineStr">
        <is>
          <t>NTE240</t>
        </is>
      </c>
      <c r="D130" s="14" t="inlineStr">
        <is>
          <t>NTE</t>
        </is>
      </c>
      <c r="E130" s="14" t="inlineStr"/>
      <c r="F130" s="14" t="inlineStr">
        <is>
          <t>622</t>
        </is>
      </c>
      <c r="G130" s="14" t="inlineStr">
        <is>
          <t>план</t>
        </is>
      </c>
      <c r="H130" s="26" t="n">
        <v>46366</v>
      </c>
      <c r="I130" s="15">
        <f>IF(D130="TR100",$D$8,IF(H130&lt;$D$5,$D$6,$D$7))</f>
        <v>24</v>
      </c>
      <c r="J130" s="26">
        <f>EDATE(H130,I130)</f>
        <v>47097</v>
      </c>
    </row>
    <row r="131">
      <c r="A131" s="14" t="n">
        <v>121</v>
      </c>
      <c r="B131" s="13" t="inlineStr">
        <is>
          <t>Полюс Красноярск</t>
        </is>
      </c>
      <c r="C131" s="14" t="inlineStr">
        <is>
          <t>NTE240</t>
        </is>
      </c>
      <c r="D131" s="14" t="inlineStr">
        <is>
          <t>NTE</t>
        </is>
      </c>
      <c r="E131" s="14" t="inlineStr"/>
      <c r="F131" s="14" t="inlineStr">
        <is>
          <t>623</t>
        </is>
      </c>
      <c r="G131" s="14" t="inlineStr">
        <is>
          <t>план</t>
        </is>
      </c>
      <c r="H131" s="26" t="n">
        <v>46397</v>
      </c>
      <c r="I131" s="15">
        <f>IF(D131="TR100",$D$8,IF(H131&lt;$D$5,$D$6,$D$7))</f>
        <v>24</v>
      </c>
      <c r="J131" s="26">
        <f>EDATE(H131,I131)</f>
        <v>47128</v>
      </c>
    </row>
    <row r="132">
      <c r="A132" s="14" t="n">
        <v>122</v>
      </c>
      <c r="B132" s="13" t="inlineStr">
        <is>
          <t>Полюс Красноярск</t>
        </is>
      </c>
      <c r="C132" s="14" t="inlineStr">
        <is>
          <t>NTE240</t>
        </is>
      </c>
      <c r="D132" s="14" t="inlineStr">
        <is>
          <t>NTE</t>
        </is>
      </c>
      <c r="E132" s="14" t="inlineStr"/>
      <c r="F132" s="14" t="inlineStr">
        <is>
          <t>624</t>
        </is>
      </c>
      <c r="G132" s="14" t="inlineStr">
        <is>
          <t>план</t>
        </is>
      </c>
      <c r="H132" s="26" t="n">
        <v>46397</v>
      </c>
      <c r="I132" s="15">
        <f>IF(D132="TR100",$D$8,IF(H132&lt;$D$5,$D$6,$D$7))</f>
        <v>24</v>
      </c>
      <c r="J132" s="26">
        <f>EDATE(H132,I132)</f>
        <v>47128</v>
      </c>
    </row>
    <row r="133">
      <c r="A133" s="14" t="n">
        <v>123</v>
      </c>
      <c r="B133" s="13" t="inlineStr">
        <is>
          <t>Полюс Красноярск</t>
        </is>
      </c>
      <c r="C133" s="14" t="inlineStr">
        <is>
          <t>TR100</t>
        </is>
      </c>
      <c r="D133" s="14" t="inlineStr">
        <is>
          <t>TR100</t>
        </is>
      </c>
      <c r="E133" s="14" t="inlineStr">
        <is>
          <t>NHLT3AAAASB2A0430</t>
        </is>
      </c>
      <c r="F133" s="14" t="inlineStr">
        <is>
          <t>801</t>
        </is>
      </c>
      <c r="G133" s="14" t="inlineStr">
        <is>
          <t>факт</t>
        </is>
      </c>
      <c r="H133" s="26" t="n">
        <v>45908</v>
      </c>
      <c r="I133" s="15">
        <f>IF(D133="TR100",$D$8,IF(H133&lt;$D$5,$D$6,$D$7))</f>
        <v>24</v>
      </c>
      <c r="J133" s="26">
        <f>EDATE(H133,I133)</f>
        <v>46638</v>
      </c>
    </row>
    <row r="134">
      <c r="A134" s="14" t="n">
        <v>124</v>
      </c>
      <c r="B134" s="13" t="inlineStr">
        <is>
          <t>Полюс Красноярск</t>
        </is>
      </c>
      <c r="C134" s="14" t="inlineStr">
        <is>
          <t>TR100</t>
        </is>
      </c>
      <c r="D134" s="14" t="inlineStr">
        <is>
          <t>TR100</t>
        </is>
      </c>
      <c r="E134" s="14" t="inlineStr">
        <is>
          <t>NHLT3AAALSB2A0428</t>
        </is>
      </c>
      <c r="F134" s="14" t="inlineStr">
        <is>
          <t>802</t>
        </is>
      </c>
      <c r="G134" s="14" t="inlineStr">
        <is>
          <t>факт</t>
        </is>
      </c>
      <c r="H134" s="26" t="n">
        <v>45911</v>
      </c>
      <c r="I134" s="15">
        <f>IF(D134="TR100",$D$8,IF(H134&lt;$D$5,$D$6,$D$7))</f>
        <v>24</v>
      </c>
      <c r="J134" s="26">
        <f>EDATE(H134,I134)</f>
        <v>46641</v>
      </c>
    </row>
    <row r="135">
      <c r="A135" s="14" t="n">
        <v>125</v>
      </c>
      <c r="B135" s="13" t="inlineStr">
        <is>
          <t>Полюс Красноярск</t>
        </is>
      </c>
      <c r="C135" s="14" t="inlineStr">
        <is>
          <t>TR100</t>
        </is>
      </c>
      <c r="D135" s="14" t="inlineStr">
        <is>
          <t>TR100</t>
        </is>
      </c>
      <c r="E135" s="14" t="inlineStr">
        <is>
          <t>NHLT3AAAASB2A0427</t>
        </is>
      </c>
      <c r="F135" s="14" t="inlineStr">
        <is>
          <t>803</t>
        </is>
      </c>
      <c r="G135" s="14" t="inlineStr">
        <is>
          <t>факт</t>
        </is>
      </c>
      <c r="H135" s="26" t="n">
        <v>45917</v>
      </c>
      <c r="I135" s="15">
        <f>IF(D135="TR100",$D$8,IF(H135&lt;$D$5,$D$6,$D$7))</f>
        <v>24</v>
      </c>
      <c r="J135" s="26">
        <f>EDATE(H135,I135)</f>
        <v>46647</v>
      </c>
    </row>
    <row r="136">
      <c r="A136" s="14" t="n">
        <v>126</v>
      </c>
      <c r="B136" s="13" t="inlineStr">
        <is>
          <t>Полюс Красноярск</t>
        </is>
      </c>
      <c r="C136" s="14" t="inlineStr">
        <is>
          <t>TR100</t>
        </is>
      </c>
      <c r="D136" s="14" t="inlineStr">
        <is>
          <t>TR100</t>
        </is>
      </c>
      <c r="E136" s="14" t="inlineStr">
        <is>
          <t>NHLT3AAAHSB2A0429</t>
        </is>
      </c>
      <c r="F136" s="14" t="inlineStr">
        <is>
          <t>804</t>
        </is>
      </c>
      <c r="G136" s="14" t="inlineStr">
        <is>
          <t>факт</t>
        </is>
      </c>
      <c r="H136" s="26" t="n">
        <v>45925</v>
      </c>
      <c r="I136" s="15">
        <f>IF(D136="TR100",$D$8,IF(H136&lt;$D$5,$D$6,$D$7))</f>
        <v>24</v>
      </c>
      <c r="J136" s="26">
        <f>EDATE(H136,I136)</f>
        <v>46655</v>
      </c>
    </row>
    <row r="137">
      <c r="A137" s="14" t="n">
        <v>127</v>
      </c>
      <c r="B137" s="13" t="inlineStr">
        <is>
          <t>Полюс Красноярск</t>
        </is>
      </c>
      <c r="C137" s="14" t="inlineStr">
        <is>
          <t>TR100</t>
        </is>
      </c>
      <c r="D137" s="14" t="inlineStr">
        <is>
          <t>TR100</t>
        </is>
      </c>
      <c r="E137" s="14" t="inlineStr"/>
      <c r="F137" s="14" t="inlineStr">
        <is>
          <t>805</t>
        </is>
      </c>
      <c r="G137" s="14" t="inlineStr">
        <is>
          <t>план</t>
        </is>
      </c>
      <c r="H137" s="26" t="n">
        <v>46023</v>
      </c>
      <c r="I137" s="15">
        <f>IF(D137="TR100",$D$8,IF(H137&lt;$D$5,$D$6,$D$7))</f>
        <v>24</v>
      </c>
      <c r="J137" s="26">
        <f>EDATE(H137,I137)</f>
        <v>46753</v>
      </c>
    </row>
    <row r="138">
      <c r="A138" s="14" t="n">
        <v>128</v>
      </c>
      <c r="B138" s="13" t="inlineStr">
        <is>
          <t>Полюс Красноярск</t>
        </is>
      </c>
      <c r="C138" s="14" t="inlineStr">
        <is>
          <t>TR100</t>
        </is>
      </c>
      <c r="D138" s="14" t="inlineStr">
        <is>
          <t>TR100</t>
        </is>
      </c>
      <c r="E138" s="14" t="inlineStr"/>
      <c r="F138" s="14" t="inlineStr">
        <is>
          <t>806</t>
        </is>
      </c>
      <c r="G138" s="14" t="inlineStr">
        <is>
          <t>план</t>
        </is>
      </c>
      <c r="H138" s="26" t="n">
        <v>46023</v>
      </c>
      <c r="I138" s="15">
        <f>IF(D138="TR100",$D$8,IF(H138&lt;$D$5,$D$6,$D$7))</f>
        <v>24</v>
      </c>
      <c r="J138" s="26">
        <f>EDATE(H138,I138)</f>
        <v>46753</v>
      </c>
    </row>
    <row r="139">
      <c r="A139" s="14" t="n">
        <v>129</v>
      </c>
      <c r="B139" s="13" t="inlineStr">
        <is>
          <t>Полюс Красноярск</t>
        </is>
      </c>
      <c r="C139" s="14" t="inlineStr">
        <is>
          <t>TR100</t>
        </is>
      </c>
      <c r="D139" s="14" t="inlineStr">
        <is>
          <t>TR100</t>
        </is>
      </c>
      <c r="E139" s="14" t="inlineStr"/>
      <c r="F139" s="14" t="inlineStr">
        <is>
          <t>807</t>
        </is>
      </c>
      <c r="G139" s="14" t="inlineStr">
        <is>
          <t>план</t>
        </is>
      </c>
      <c r="H139" s="26" t="n">
        <v>46023</v>
      </c>
      <c r="I139" s="15">
        <f>IF(D139="TR100",$D$8,IF(H139&lt;$D$5,$D$6,$D$7))</f>
        <v>24</v>
      </c>
      <c r="J139" s="26">
        <f>EDATE(H139,I139)</f>
        <v>46753</v>
      </c>
    </row>
    <row r="140">
      <c r="A140" s="14" t="n">
        <v>130</v>
      </c>
      <c r="B140" s="13" t="inlineStr">
        <is>
          <t>Полюс Красноярск</t>
        </is>
      </c>
      <c r="C140" s="14" t="inlineStr">
        <is>
          <t>TR100</t>
        </is>
      </c>
      <c r="D140" s="14" t="inlineStr">
        <is>
          <t>TR100</t>
        </is>
      </c>
      <c r="E140" s="14" t="inlineStr"/>
      <c r="F140" s="14" t="inlineStr">
        <is>
          <t>808</t>
        </is>
      </c>
      <c r="G140" s="14" t="inlineStr">
        <is>
          <t>план</t>
        </is>
      </c>
      <c r="H140" s="26" t="n">
        <v>46023</v>
      </c>
      <c r="I140" s="15">
        <f>IF(D140="TR100",$D$8,IF(H140&lt;$D$5,$D$6,$D$7))</f>
        <v>24</v>
      </c>
      <c r="J140" s="26">
        <f>EDATE(H140,I140)</f>
        <v>46753</v>
      </c>
    </row>
    <row r="141">
      <c r="A141" s="14" t="n">
        <v>131</v>
      </c>
      <c r="B141" s="13" t="inlineStr">
        <is>
          <t>Полюс Красноярск</t>
        </is>
      </c>
      <c r="C141" s="14" t="inlineStr">
        <is>
          <t>TR100</t>
        </is>
      </c>
      <c r="D141" s="14" t="inlineStr">
        <is>
          <t>TR100</t>
        </is>
      </c>
      <c r="E141" s="14" t="inlineStr"/>
      <c r="F141" s="14" t="inlineStr">
        <is>
          <t>809</t>
        </is>
      </c>
      <c r="G141" s="14" t="inlineStr">
        <is>
          <t>план</t>
        </is>
      </c>
      <c r="H141" s="26" t="n">
        <v>46054</v>
      </c>
      <c r="I141" s="15">
        <f>IF(D141="TR100",$D$8,IF(H141&lt;$D$5,$D$6,$D$7))</f>
        <v>24</v>
      </c>
      <c r="J141" s="26">
        <f>EDATE(H141,I141)</f>
        <v>46784</v>
      </c>
    </row>
    <row r="142">
      <c r="A142" s="14" t="n">
        <v>132</v>
      </c>
      <c r="B142" s="13" t="inlineStr">
        <is>
          <t>Полюс Красноярск</t>
        </is>
      </c>
      <c r="C142" s="14" t="inlineStr">
        <is>
          <t>TR100</t>
        </is>
      </c>
      <c r="D142" s="14" t="inlineStr">
        <is>
          <t>TR100</t>
        </is>
      </c>
      <c r="E142" s="14" t="inlineStr"/>
      <c r="F142" s="14" t="inlineStr">
        <is>
          <t>810</t>
        </is>
      </c>
      <c r="G142" s="14" t="inlineStr">
        <is>
          <t>план</t>
        </is>
      </c>
      <c r="H142" s="26" t="n">
        <v>46054</v>
      </c>
      <c r="I142" s="15">
        <f>IF(D142="TR100",$D$8,IF(H142&lt;$D$5,$D$6,$D$7))</f>
        <v>24</v>
      </c>
      <c r="J142" s="26">
        <f>EDATE(H142,I142)</f>
        <v>46784</v>
      </c>
    </row>
    <row r="143">
      <c r="A143" s="14" t="n">
        <v>133</v>
      </c>
      <c r="B143" s="13" t="inlineStr">
        <is>
          <t>Полюс Красноярск</t>
        </is>
      </c>
      <c r="C143" s="14" t="inlineStr">
        <is>
          <t>TR100</t>
        </is>
      </c>
      <c r="D143" s="14" t="inlineStr">
        <is>
          <t>TR100</t>
        </is>
      </c>
      <c r="E143" s="14" t="inlineStr"/>
      <c r="F143" s="14" t="inlineStr">
        <is>
          <t>811</t>
        </is>
      </c>
      <c r="G143" s="14" t="inlineStr">
        <is>
          <t>план</t>
        </is>
      </c>
      <c r="H143" s="26" t="n">
        <v>46082</v>
      </c>
      <c r="I143" s="15">
        <f>IF(D143="TR100",$D$8,IF(H143&lt;$D$5,$D$6,$D$7))</f>
        <v>24</v>
      </c>
      <c r="J143" s="26">
        <f>EDATE(H143,I143)</f>
        <v>46813</v>
      </c>
    </row>
    <row r="144">
      <c r="A144" s="14" t="n">
        <v>134</v>
      </c>
      <c r="B144" s="13" t="inlineStr">
        <is>
          <t>Полюс Красноярск</t>
        </is>
      </c>
      <c r="C144" s="14" t="inlineStr">
        <is>
          <t>TR100</t>
        </is>
      </c>
      <c r="D144" s="14" t="inlineStr">
        <is>
          <t>TR100</t>
        </is>
      </c>
      <c r="E144" s="14" t="inlineStr"/>
      <c r="F144" s="14" t="inlineStr">
        <is>
          <t>812</t>
        </is>
      </c>
      <c r="G144" s="14" t="inlineStr">
        <is>
          <t>план</t>
        </is>
      </c>
      <c r="H144" s="26" t="n">
        <v>46082</v>
      </c>
      <c r="I144" s="15">
        <f>IF(D144="TR100",$D$8,IF(H144&lt;$D$5,$D$6,$D$7))</f>
        <v>24</v>
      </c>
      <c r="J144" s="26">
        <f>EDATE(H144,I144)</f>
        <v>46813</v>
      </c>
    </row>
    <row r="145">
      <c r="A145" s="14" t="n">
        <v>135</v>
      </c>
      <c r="B145" s="13" t="inlineStr">
        <is>
          <t>Полюс Красноярск</t>
        </is>
      </c>
      <c r="C145" s="14" t="inlineStr">
        <is>
          <t>TR100</t>
        </is>
      </c>
      <c r="D145" s="14" t="inlineStr">
        <is>
          <t>TR100</t>
        </is>
      </c>
      <c r="E145" s="14" t="inlineStr"/>
      <c r="F145" s="14" t="inlineStr">
        <is>
          <t>814</t>
        </is>
      </c>
      <c r="G145" s="14" t="inlineStr">
        <is>
          <t>план</t>
        </is>
      </c>
      <c r="H145" s="26" t="n">
        <v>46113</v>
      </c>
      <c r="I145" s="15">
        <f>IF(D145="TR100",$D$8,IF(H145&lt;$D$5,$D$6,$D$7))</f>
        <v>24</v>
      </c>
      <c r="J145" s="26">
        <f>EDATE(H145,I145)</f>
        <v>46844</v>
      </c>
    </row>
    <row r="146">
      <c r="A146" s="14" t="n">
        <v>136</v>
      </c>
      <c r="B146" s="13" t="inlineStr">
        <is>
          <t>Полюс Красноярск</t>
        </is>
      </c>
      <c r="C146" s="14" t="inlineStr">
        <is>
          <t>TR100</t>
        </is>
      </c>
      <c r="D146" s="14" t="inlineStr">
        <is>
          <t>TR100</t>
        </is>
      </c>
      <c r="E146" s="14" t="inlineStr"/>
      <c r="F146" s="14" t="inlineStr">
        <is>
          <t>815</t>
        </is>
      </c>
      <c r="G146" s="14" t="inlineStr">
        <is>
          <t>план</t>
        </is>
      </c>
      <c r="H146" s="26" t="n">
        <v>46113</v>
      </c>
      <c r="I146" s="15">
        <f>IF(D146="TR100",$D$8,IF(H146&lt;$D$5,$D$6,$D$7))</f>
        <v>24</v>
      </c>
      <c r="J146" s="26">
        <f>EDATE(H146,I146)</f>
        <v>46844</v>
      </c>
    </row>
    <row r="147">
      <c r="A147" s="14" t="n">
        <v>137</v>
      </c>
      <c r="B147" s="13" t="inlineStr">
        <is>
          <t>Полюс Красноярск</t>
        </is>
      </c>
      <c r="C147" s="14" t="inlineStr">
        <is>
          <t>TR100</t>
        </is>
      </c>
      <c r="D147" s="14" t="inlineStr">
        <is>
          <t>TR100</t>
        </is>
      </c>
      <c r="E147" s="14" t="inlineStr"/>
      <c r="F147" s="14" t="inlineStr">
        <is>
          <t>816</t>
        </is>
      </c>
      <c r="G147" s="14" t="inlineStr">
        <is>
          <t>план</t>
        </is>
      </c>
      <c r="H147" s="26" t="n">
        <v>46266</v>
      </c>
      <c r="I147" s="15">
        <f>IF(D147="TR100",$D$8,IF(H147&lt;$D$5,$D$6,$D$7))</f>
        <v>24</v>
      </c>
      <c r="J147" s="26">
        <f>EDATE(H147,I147)</f>
        <v>46997</v>
      </c>
    </row>
    <row r="148">
      <c r="A148" s="14" t="n">
        <v>138</v>
      </c>
      <c r="B148" s="13" t="inlineStr">
        <is>
          <t>Полюс Красноярск</t>
        </is>
      </c>
      <c r="C148" s="14" t="inlineStr">
        <is>
          <t>TR100</t>
        </is>
      </c>
      <c r="D148" s="14" t="inlineStr">
        <is>
          <t>TR100</t>
        </is>
      </c>
      <c r="E148" s="14" t="inlineStr"/>
      <c r="F148" s="14" t="inlineStr">
        <is>
          <t>817</t>
        </is>
      </c>
      <c r="G148" s="14" t="inlineStr">
        <is>
          <t>план</t>
        </is>
      </c>
      <c r="H148" s="26" t="n">
        <v>46266</v>
      </c>
      <c r="I148" s="15">
        <f>IF(D148="TR100",$D$8,IF(H148&lt;$D$5,$D$6,$D$7))</f>
        <v>24</v>
      </c>
      <c r="J148" s="26">
        <f>EDATE(H148,I148)</f>
        <v>46997</v>
      </c>
    </row>
    <row r="149">
      <c r="A149" s="14" t="n">
        <v>139</v>
      </c>
      <c r="B149" s="13" t="inlineStr">
        <is>
          <t>Полюс Красноярск</t>
        </is>
      </c>
      <c r="C149" s="14" t="inlineStr">
        <is>
          <t>TR100</t>
        </is>
      </c>
      <c r="D149" s="14" t="inlineStr">
        <is>
          <t>TR100</t>
        </is>
      </c>
      <c r="E149" s="14" t="inlineStr"/>
      <c r="F149" s="14" t="inlineStr">
        <is>
          <t>818</t>
        </is>
      </c>
      <c r="G149" s="14" t="inlineStr">
        <is>
          <t>план</t>
        </is>
      </c>
      <c r="H149" s="26" t="n">
        <v>46296</v>
      </c>
      <c r="I149" s="15">
        <f>IF(D149="TR100",$D$8,IF(H149&lt;$D$5,$D$6,$D$7))</f>
        <v>24</v>
      </c>
      <c r="J149" s="26">
        <f>EDATE(H149,I149)</f>
        <v>47027</v>
      </c>
    </row>
    <row r="150">
      <c r="A150" s="14" t="n">
        <v>140</v>
      </c>
      <c r="B150" s="13" t="inlineStr">
        <is>
          <t>Полюс Красноярск</t>
        </is>
      </c>
      <c r="C150" s="14" t="inlineStr">
        <is>
          <t>TR100</t>
        </is>
      </c>
      <c r="D150" s="14" t="inlineStr">
        <is>
          <t>TR100</t>
        </is>
      </c>
      <c r="E150" s="14" t="inlineStr"/>
      <c r="F150" s="14" t="inlineStr">
        <is>
          <t>819</t>
        </is>
      </c>
      <c r="G150" s="14" t="inlineStr">
        <is>
          <t>план</t>
        </is>
      </c>
      <c r="H150" s="26" t="n">
        <v>46296</v>
      </c>
      <c r="I150" s="15">
        <f>IF(D150="TR100",$D$8,IF(H150&lt;$D$5,$D$6,$D$7))</f>
        <v>24</v>
      </c>
      <c r="J150" s="26">
        <f>EDATE(H150,I150)</f>
        <v>47027</v>
      </c>
    </row>
    <row r="151">
      <c r="A151" s="14" t="n">
        <v>141</v>
      </c>
      <c r="B151" s="13" t="inlineStr">
        <is>
          <t>Полюс Красноярск</t>
        </is>
      </c>
      <c r="C151" s="14" t="inlineStr">
        <is>
          <t>TR100</t>
        </is>
      </c>
      <c r="D151" s="14" t="inlineStr">
        <is>
          <t>TR100</t>
        </is>
      </c>
      <c r="E151" s="14" t="inlineStr"/>
      <c r="F151" s="14" t="inlineStr">
        <is>
          <t>820</t>
        </is>
      </c>
      <c r="G151" s="14" t="inlineStr">
        <is>
          <t>план</t>
        </is>
      </c>
      <c r="H151" s="26" t="n">
        <v>46327</v>
      </c>
      <c r="I151" s="15">
        <f>IF(D151="TR100",$D$8,IF(H151&lt;$D$5,$D$6,$D$7))</f>
        <v>24</v>
      </c>
      <c r="J151" s="26">
        <f>EDATE(H151,I151)</f>
        <v>47058</v>
      </c>
    </row>
    <row r="152">
      <c r="A152" s="14" t="n">
        <v>142</v>
      </c>
      <c r="B152" s="13" t="inlineStr">
        <is>
          <t>Полюс Красноярск</t>
        </is>
      </c>
      <c r="C152" s="14" t="inlineStr">
        <is>
          <t>TR100</t>
        </is>
      </c>
      <c r="D152" s="14" t="inlineStr">
        <is>
          <t>TR100</t>
        </is>
      </c>
      <c r="E152" s="14" t="inlineStr"/>
      <c r="F152" s="14" t="inlineStr">
        <is>
          <t>821</t>
        </is>
      </c>
      <c r="G152" s="14" t="inlineStr">
        <is>
          <t>план</t>
        </is>
      </c>
      <c r="H152" s="26" t="n">
        <v>46327</v>
      </c>
      <c r="I152" s="15">
        <f>IF(D152="TR100",$D$8,IF(H152&lt;$D$5,$D$6,$D$7))</f>
        <v>24</v>
      </c>
      <c r="J152" s="26">
        <f>EDATE(H152,I152)</f>
        <v>47058</v>
      </c>
    </row>
    <row r="153">
      <c r="A153" s="14" t="n">
        <v>143</v>
      </c>
      <c r="B153" s="13" t="inlineStr">
        <is>
          <t>Полюс Красноярск</t>
        </is>
      </c>
      <c r="C153" s="14" t="inlineStr">
        <is>
          <t>TR100</t>
        </is>
      </c>
      <c r="D153" s="14" t="inlineStr">
        <is>
          <t>TR100</t>
        </is>
      </c>
      <c r="E153" s="14" t="inlineStr"/>
      <c r="F153" s="14" t="inlineStr">
        <is>
          <t>822</t>
        </is>
      </c>
      <c r="G153" s="14" t="inlineStr">
        <is>
          <t>план</t>
        </is>
      </c>
      <c r="H153" s="26" t="n">
        <v>46327</v>
      </c>
      <c r="I153" s="15">
        <f>IF(D153="TR100",$D$8,IF(H153&lt;$D$5,$D$6,$D$7))</f>
        <v>24</v>
      </c>
      <c r="J153" s="26">
        <f>EDATE(H153,I153)</f>
        <v>47058</v>
      </c>
    </row>
    <row r="154">
      <c r="A154" s="14" t="n">
        <v>144</v>
      </c>
      <c r="B154" s="13" t="inlineStr">
        <is>
          <t>Полюс Красноярск</t>
        </is>
      </c>
      <c r="C154" s="14" t="inlineStr">
        <is>
          <t>TR100</t>
        </is>
      </c>
      <c r="D154" s="14" t="inlineStr">
        <is>
          <t>TR100</t>
        </is>
      </c>
      <c r="E154" s="14" t="inlineStr"/>
      <c r="F154" s="14" t="inlineStr">
        <is>
          <t>823</t>
        </is>
      </c>
      <c r="G154" s="14" t="inlineStr">
        <is>
          <t>план</t>
        </is>
      </c>
      <c r="H154" s="26" t="n">
        <v>46327</v>
      </c>
      <c r="I154" s="15">
        <f>IF(D154="TR100",$D$8,IF(H154&lt;$D$5,$D$6,$D$7))</f>
        <v>24</v>
      </c>
      <c r="J154" s="26">
        <f>EDATE(H154,I154)</f>
        <v>47058</v>
      </c>
    </row>
    <row r="155">
      <c r="A155" s="14" t="n">
        <v>145</v>
      </c>
      <c r="B155" s="17" t="inlineStr">
        <is>
          <t>Полюс Сухой Лог</t>
        </is>
      </c>
      <c r="C155" s="14" t="inlineStr">
        <is>
          <t>NTE240</t>
        </is>
      </c>
      <c r="D155" s="14" t="inlineStr">
        <is>
          <t>NTE</t>
        </is>
      </c>
      <c r="E155" s="14" t="inlineStr"/>
      <c r="F155" s="14" t="inlineStr"/>
      <c r="G155" s="14" t="inlineStr">
        <is>
          <t>план</t>
        </is>
      </c>
      <c r="H155" s="26" t="n">
        <v>46266</v>
      </c>
      <c r="I155" s="15">
        <f>IF(D155="TR100",$D$8,IF(H155&lt;$D$5,$D$6,$D$7))</f>
        <v>24</v>
      </c>
      <c r="J155" s="26">
        <f>EDATE(H155,I155)</f>
        <v>46997</v>
      </c>
    </row>
    <row r="156">
      <c r="A156" s="14" t="n">
        <v>146</v>
      </c>
      <c r="B156" s="17" t="inlineStr">
        <is>
          <t>Полюс Сухой Лог</t>
        </is>
      </c>
      <c r="C156" s="14" t="inlineStr">
        <is>
          <t>NTE240</t>
        </is>
      </c>
      <c r="D156" s="14" t="inlineStr">
        <is>
          <t>NTE</t>
        </is>
      </c>
      <c r="E156" s="14" t="inlineStr"/>
      <c r="F156" s="14" t="inlineStr"/>
      <c r="G156" s="14" t="inlineStr">
        <is>
          <t>план</t>
        </is>
      </c>
      <c r="H156" s="26" t="n">
        <v>46280</v>
      </c>
      <c r="I156" s="15">
        <f>IF(D156="TR100",$D$8,IF(H156&lt;$D$5,$D$6,$D$7))</f>
        <v>24</v>
      </c>
      <c r="J156" s="26">
        <f>EDATE(H156,I156)</f>
        <v>47011</v>
      </c>
    </row>
    <row r="157">
      <c r="A157" s="14" t="n">
        <v>147</v>
      </c>
      <c r="B157" s="17" t="inlineStr">
        <is>
          <t>Полюс Сухой Лог</t>
        </is>
      </c>
      <c r="C157" s="14" t="inlineStr">
        <is>
          <t>NTE240</t>
        </is>
      </c>
      <c r="D157" s="14" t="inlineStr">
        <is>
          <t>NTE</t>
        </is>
      </c>
      <c r="E157" s="14" t="inlineStr"/>
      <c r="F157" s="14" t="inlineStr"/>
      <c r="G157" s="14" t="inlineStr">
        <is>
          <t>план</t>
        </is>
      </c>
      <c r="H157" s="26" t="n">
        <v>46295</v>
      </c>
      <c r="I157" s="15">
        <f>IF(D157="TR100",$D$8,IF(H157&lt;$D$5,$D$6,$D$7))</f>
        <v>24</v>
      </c>
      <c r="J157" s="26">
        <f>EDATE(H157,I157)</f>
        <v>47026</v>
      </c>
    </row>
    <row r="158">
      <c r="A158" s="14" t="n">
        <v>148</v>
      </c>
      <c r="B158" s="17" t="inlineStr">
        <is>
          <t>Полюс Сухой Лог</t>
        </is>
      </c>
      <c r="C158" s="14" t="inlineStr">
        <is>
          <t>NTE240</t>
        </is>
      </c>
      <c r="D158" s="14" t="inlineStr">
        <is>
          <t>NTE</t>
        </is>
      </c>
      <c r="E158" s="14" t="inlineStr"/>
      <c r="F158" s="14" t="inlineStr"/>
      <c r="G158" s="14" t="inlineStr">
        <is>
          <t>план</t>
        </is>
      </c>
      <c r="H158" s="26" t="n">
        <v>46296</v>
      </c>
      <c r="I158" s="15">
        <f>IF(D158="TR100",$D$8,IF(H158&lt;$D$5,$D$6,$D$7))</f>
        <v>24</v>
      </c>
      <c r="J158" s="26">
        <f>EDATE(H158,I158)</f>
        <v>47027</v>
      </c>
    </row>
    <row r="159">
      <c r="A159" s="14" t="n">
        <v>149</v>
      </c>
      <c r="B159" s="17" t="inlineStr">
        <is>
          <t>Полюс Сухой Лог</t>
        </is>
      </c>
      <c r="C159" s="14" t="inlineStr">
        <is>
          <t>NTE240</t>
        </is>
      </c>
      <c r="D159" s="14" t="inlineStr">
        <is>
          <t>NTE</t>
        </is>
      </c>
      <c r="E159" s="14" t="inlineStr"/>
      <c r="F159" s="14" t="inlineStr"/>
      <c r="G159" s="14" t="inlineStr">
        <is>
          <t>план</t>
        </is>
      </c>
      <c r="H159" s="26" t="n">
        <v>46310</v>
      </c>
      <c r="I159" s="15">
        <f>IF(D159="TR100",$D$8,IF(H159&lt;$D$5,$D$6,$D$7))</f>
        <v>24</v>
      </c>
      <c r="J159" s="26">
        <f>EDATE(H159,I159)</f>
        <v>47041</v>
      </c>
    </row>
    <row r="160">
      <c r="A160" s="14" t="n">
        <v>150</v>
      </c>
      <c r="B160" s="17" t="inlineStr">
        <is>
          <t>Полюс Сухой Лог</t>
        </is>
      </c>
      <c r="C160" s="14" t="inlineStr">
        <is>
          <t>NTE240</t>
        </is>
      </c>
      <c r="D160" s="14" t="inlineStr">
        <is>
          <t>NTE</t>
        </is>
      </c>
      <c r="E160" s="14" t="inlineStr"/>
      <c r="F160" s="14" t="inlineStr"/>
      <c r="G160" s="14" t="inlineStr">
        <is>
          <t>план</t>
        </is>
      </c>
      <c r="H160" s="26" t="n">
        <v>46325</v>
      </c>
      <c r="I160" s="15">
        <f>IF(D160="TR100",$D$8,IF(H160&lt;$D$5,$D$6,$D$7))</f>
        <v>24</v>
      </c>
      <c r="J160" s="26">
        <f>EDATE(H160,I160)</f>
        <v>47056</v>
      </c>
    </row>
    <row r="161">
      <c r="A161" s="14" t="n">
        <v>151</v>
      </c>
      <c r="B161" s="17" t="inlineStr">
        <is>
          <t>Полюс Сухой Лог</t>
        </is>
      </c>
      <c r="C161" s="14" t="inlineStr">
        <is>
          <t>NTE240</t>
        </is>
      </c>
      <c r="D161" s="14" t="inlineStr">
        <is>
          <t>NTE</t>
        </is>
      </c>
      <c r="E161" s="14" t="inlineStr"/>
      <c r="F161" s="14" t="inlineStr"/>
      <c r="G161" s="14" t="inlineStr">
        <is>
          <t>план</t>
        </is>
      </c>
      <c r="H161" s="26" t="n">
        <v>46327</v>
      </c>
      <c r="I161" s="15">
        <f>IF(D161="TR100",$D$8,IF(H161&lt;$D$5,$D$6,$D$7))</f>
        <v>24</v>
      </c>
      <c r="J161" s="26">
        <f>EDATE(H161,I161)</f>
        <v>47058</v>
      </c>
    </row>
    <row r="162">
      <c r="A162" s="14" t="n">
        <v>152</v>
      </c>
      <c r="B162" s="17" t="inlineStr">
        <is>
          <t>Полюс Сухой Лог</t>
        </is>
      </c>
      <c r="C162" s="14" t="inlineStr">
        <is>
          <t>NTE240</t>
        </is>
      </c>
      <c r="D162" s="14" t="inlineStr">
        <is>
          <t>NTE</t>
        </is>
      </c>
      <c r="E162" s="14" t="inlineStr"/>
      <c r="F162" s="14" t="inlineStr"/>
      <c r="G162" s="14" t="inlineStr">
        <is>
          <t>план</t>
        </is>
      </c>
      <c r="H162" s="26" t="n">
        <v>46341</v>
      </c>
      <c r="I162" s="15">
        <f>IF(D162="TR100",$D$8,IF(H162&lt;$D$5,$D$6,$D$7))</f>
        <v>24</v>
      </c>
      <c r="J162" s="26">
        <f>EDATE(H162,I162)</f>
        <v>47072</v>
      </c>
    </row>
    <row r="163">
      <c r="A163" s="14" t="n">
        <v>153</v>
      </c>
      <c r="B163" s="17" t="inlineStr">
        <is>
          <t>Полюс Сухой Лог</t>
        </is>
      </c>
      <c r="C163" s="14" t="inlineStr">
        <is>
          <t>NTE240</t>
        </is>
      </c>
      <c r="D163" s="14" t="inlineStr">
        <is>
          <t>NTE</t>
        </is>
      </c>
      <c r="E163" s="14" t="inlineStr"/>
      <c r="F163" s="14" t="inlineStr"/>
      <c r="G163" s="14" t="inlineStr">
        <is>
          <t>план</t>
        </is>
      </c>
      <c r="H163" s="26" t="n">
        <v>46356</v>
      </c>
      <c r="I163" s="15">
        <f>IF(D163="TR100",$D$8,IF(H163&lt;$D$5,$D$6,$D$7))</f>
        <v>24</v>
      </c>
      <c r="J163" s="26">
        <f>EDATE(H163,I163)</f>
        <v>47087</v>
      </c>
    </row>
    <row r="164">
      <c r="A164" s="14" t="n">
        <v>154</v>
      </c>
      <c r="B164" s="17" t="inlineStr">
        <is>
          <t>Полюс Сухой Лог</t>
        </is>
      </c>
      <c r="C164" s="14" t="inlineStr">
        <is>
          <t>NTE240</t>
        </is>
      </c>
      <c r="D164" s="14" t="inlineStr">
        <is>
          <t>NTE</t>
        </is>
      </c>
      <c r="E164" s="14" t="inlineStr"/>
      <c r="F164" s="14" t="inlineStr"/>
      <c r="G164" s="14" t="inlineStr">
        <is>
          <t>план</t>
        </is>
      </c>
      <c r="H164" s="26" t="n">
        <v>46478</v>
      </c>
      <c r="I164" s="15">
        <f>IF(D164="TR100",$D$8,IF(H164&lt;$D$5,$D$6,$D$7))</f>
        <v>24</v>
      </c>
      <c r="J164" s="26">
        <f>EDATE(H164,I164)</f>
        <v>47209</v>
      </c>
    </row>
    <row r="165">
      <c r="A165" s="14" t="n">
        <v>155</v>
      </c>
      <c r="B165" s="17" t="inlineStr">
        <is>
          <t>Полюс Сухой Лог</t>
        </is>
      </c>
      <c r="C165" s="14" t="inlineStr">
        <is>
          <t>NTE240</t>
        </is>
      </c>
      <c r="D165" s="14" t="inlineStr">
        <is>
          <t>NTE</t>
        </is>
      </c>
      <c r="E165" s="14" t="inlineStr"/>
      <c r="F165" s="14" t="inlineStr"/>
      <c r="G165" s="14" t="inlineStr">
        <is>
          <t>план</t>
        </is>
      </c>
      <c r="H165" s="26" t="n">
        <v>46487</v>
      </c>
      <c r="I165" s="15">
        <f>IF(D165="TR100",$D$8,IF(H165&lt;$D$5,$D$6,$D$7))</f>
        <v>24</v>
      </c>
      <c r="J165" s="26">
        <f>EDATE(H165,I165)</f>
        <v>47218</v>
      </c>
    </row>
    <row r="166">
      <c r="A166" s="14" t="n">
        <v>156</v>
      </c>
      <c r="B166" s="17" t="inlineStr">
        <is>
          <t>Полюс Сухой Лог</t>
        </is>
      </c>
      <c r="C166" s="14" t="inlineStr">
        <is>
          <t>NTE240</t>
        </is>
      </c>
      <c r="D166" s="14" t="inlineStr">
        <is>
          <t>NTE</t>
        </is>
      </c>
      <c r="E166" s="14" t="inlineStr"/>
      <c r="F166" s="14" t="inlineStr"/>
      <c r="G166" s="14" t="inlineStr">
        <is>
          <t>план</t>
        </is>
      </c>
      <c r="H166" s="26" t="n">
        <v>46497</v>
      </c>
      <c r="I166" s="15">
        <f>IF(D166="TR100",$D$8,IF(H166&lt;$D$5,$D$6,$D$7))</f>
        <v>24</v>
      </c>
      <c r="J166" s="26">
        <f>EDATE(H166,I166)</f>
        <v>47228</v>
      </c>
    </row>
    <row r="167">
      <c r="A167" s="14" t="n">
        <v>157</v>
      </c>
      <c r="B167" s="17" t="inlineStr">
        <is>
          <t>Полюс Сухой Лог</t>
        </is>
      </c>
      <c r="C167" s="14" t="inlineStr">
        <is>
          <t>NTE240</t>
        </is>
      </c>
      <c r="D167" s="14" t="inlineStr">
        <is>
          <t>NTE</t>
        </is>
      </c>
      <c r="E167" s="14" t="inlineStr"/>
      <c r="F167" s="14" t="inlineStr"/>
      <c r="G167" s="14" t="inlineStr">
        <is>
          <t>план</t>
        </is>
      </c>
      <c r="H167" s="26" t="n">
        <v>46507</v>
      </c>
      <c r="I167" s="15">
        <f>IF(D167="TR100",$D$8,IF(H167&lt;$D$5,$D$6,$D$7))</f>
        <v>24</v>
      </c>
      <c r="J167" s="26">
        <f>EDATE(H167,I167)</f>
        <v>47238</v>
      </c>
    </row>
    <row r="168">
      <c r="A168" s="14" t="n">
        <v>158</v>
      </c>
      <c r="B168" s="17" t="inlineStr">
        <is>
          <t>Полюс Сухой Лог</t>
        </is>
      </c>
      <c r="C168" s="14" t="inlineStr">
        <is>
          <t>NTE240</t>
        </is>
      </c>
      <c r="D168" s="14" t="inlineStr">
        <is>
          <t>NTE</t>
        </is>
      </c>
      <c r="E168" s="14" t="inlineStr"/>
      <c r="F168" s="14" t="inlineStr"/>
      <c r="G168" s="14" t="inlineStr">
        <is>
          <t>план</t>
        </is>
      </c>
      <c r="H168" s="26" t="n">
        <v>46508</v>
      </c>
      <c r="I168" s="15">
        <f>IF(D168="TR100",$D$8,IF(H168&lt;$D$5,$D$6,$D$7))</f>
        <v>24</v>
      </c>
      <c r="J168" s="26">
        <f>EDATE(H168,I168)</f>
        <v>47239</v>
      </c>
    </row>
    <row r="169">
      <c r="A169" s="14" t="n">
        <v>159</v>
      </c>
      <c r="B169" s="17" t="inlineStr">
        <is>
          <t>Полюс Сухой Лог</t>
        </is>
      </c>
      <c r="C169" s="14" t="inlineStr">
        <is>
          <t>NTE240</t>
        </is>
      </c>
      <c r="D169" s="14" t="inlineStr">
        <is>
          <t>NTE</t>
        </is>
      </c>
      <c r="E169" s="14" t="inlineStr"/>
      <c r="F169" s="14" t="inlineStr"/>
      <c r="G169" s="14" t="inlineStr">
        <is>
          <t>план</t>
        </is>
      </c>
      <c r="H169" s="26" t="n">
        <v>46517</v>
      </c>
      <c r="I169" s="15">
        <f>IF(D169="TR100",$D$8,IF(H169&lt;$D$5,$D$6,$D$7))</f>
        <v>24</v>
      </c>
      <c r="J169" s="26">
        <f>EDATE(H169,I169)</f>
        <v>47248</v>
      </c>
    </row>
    <row r="170">
      <c r="A170" s="14" t="n">
        <v>160</v>
      </c>
      <c r="B170" s="17" t="inlineStr">
        <is>
          <t>Полюс Сухой Лог</t>
        </is>
      </c>
      <c r="C170" s="14" t="inlineStr">
        <is>
          <t>NTE240</t>
        </is>
      </c>
      <c r="D170" s="14" t="inlineStr">
        <is>
          <t>NTE</t>
        </is>
      </c>
      <c r="E170" s="14" t="inlineStr"/>
      <c r="F170" s="14" t="inlineStr"/>
      <c r="G170" s="14" t="inlineStr">
        <is>
          <t>план</t>
        </is>
      </c>
      <c r="H170" s="26" t="n">
        <v>46527</v>
      </c>
      <c r="I170" s="15">
        <f>IF(D170="TR100",$D$8,IF(H170&lt;$D$5,$D$6,$D$7))</f>
        <v>24</v>
      </c>
      <c r="J170" s="26">
        <f>EDATE(H170,I170)</f>
        <v>47258</v>
      </c>
    </row>
    <row r="171">
      <c r="A171" s="14" t="n">
        <v>161</v>
      </c>
      <c r="B171" s="17" t="inlineStr">
        <is>
          <t>Полюс Сухой Лог</t>
        </is>
      </c>
      <c r="C171" s="14" t="inlineStr">
        <is>
          <t>NTE240</t>
        </is>
      </c>
      <c r="D171" s="14" t="inlineStr">
        <is>
          <t>NTE</t>
        </is>
      </c>
      <c r="E171" s="14" t="inlineStr"/>
      <c r="F171" s="14" t="inlineStr"/>
      <c r="G171" s="14" t="inlineStr">
        <is>
          <t>план</t>
        </is>
      </c>
      <c r="H171" s="26" t="n">
        <v>46537</v>
      </c>
      <c r="I171" s="15">
        <f>IF(D171="TR100",$D$8,IF(H171&lt;$D$5,$D$6,$D$7))</f>
        <v>24</v>
      </c>
      <c r="J171" s="26">
        <f>EDATE(H171,I171)</f>
        <v>47268</v>
      </c>
    </row>
    <row r="172">
      <c r="A172" s="14" t="n">
        <v>162</v>
      </c>
      <c r="B172" s="17" t="inlineStr">
        <is>
          <t>Полюс Сухой Лог</t>
        </is>
      </c>
      <c r="C172" s="14" t="inlineStr">
        <is>
          <t>NTE240</t>
        </is>
      </c>
      <c r="D172" s="14" t="inlineStr">
        <is>
          <t>NTE</t>
        </is>
      </c>
      <c r="E172" s="14" t="inlineStr"/>
      <c r="F172" s="14" t="inlineStr"/>
      <c r="G172" s="14" t="inlineStr">
        <is>
          <t>план</t>
        </is>
      </c>
      <c r="H172" s="26" t="n">
        <v>46539</v>
      </c>
      <c r="I172" s="15">
        <f>IF(D172="TR100",$D$8,IF(H172&lt;$D$5,$D$6,$D$7))</f>
        <v>24</v>
      </c>
      <c r="J172" s="26">
        <f>EDATE(H172,I172)</f>
        <v>47270</v>
      </c>
    </row>
    <row r="173">
      <c r="A173" s="14" t="n">
        <v>163</v>
      </c>
      <c r="B173" s="17" t="inlineStr">
        <is>
          <t>Полюс Сухой Лог</t>
        </is>
      </c>
      <c r="C173" s="14" t="inlineStr">
        <is>
          <t>NTE240</t>
        </is>
      </c>
      <c r="D173" s="14" t="inlineStr">
        <is>
          <t>NTE</t>
        </is>
      </c>
      <c r="E173" s="14" t="inlineStr"/>
      <c r="F173" s="14" t="inlineStr"/>
      <c r="G173" s="14" t="inlineStr">
        <is>
          <t>план</t>
        </is>
      </c>
      <c r="H173" s="26" t="n">
        <v>46548</v>
      </c>
      <c r="I173" s="15">
        <f>IF(D173="TR100",$D$8,IF(H173&lt;$D$5,$D$6,$D$7))</f>
        <v>24</v>
      </c>
      <c r="J173" s="26">
        <f>EDATE(H173,I173)</f>
        <v>47279</v>
      </c>
    </row>
    <row r="174">
      <c r="A174" s="14" t="n">
        <v>164</v>
      </c>
      <c r="B174" s="17" t="inlineStr">
        <is>
          <t>Полюс Сухой Лог</t>
        </is>
      </c>
      <c r="C174" s="14" t="inlineStr">
        <is>
          <t>NTE240</t>
        </is>
      </c>
      <c r="D174" s="14" t="inlineStr">
        <is>
          <t>NTE</t>
        </is>
      </c>
      <c r="E174" s="14" t="inlineStr"/>
      <c r="F174" s="14" t="inlineStr"/>
      <c r="G174" s="14" t="inlineStr">
        <is>
          <t>план</t>
        </is>
      </c>
      <c r="H174" s="26" t="n">
        <v>46558</v>
      </c>
      <c r="I174" s="15">
        <f>IF(D174="TR100",$D$8,IF(H174&lt;$D$5,$D$6,$D$7))</f>
        <v>24</v>
      </c>
      <c r="J174" s="26">
        <f>EDATE(H174,I174)</f>
        <v>47289</v>
      </c>
    </row>
    <row r="175">
      <c r="A175" s="14" t="n">
        <v>165</v>
      </c>
      <c r="B175" s="17" t="inlineStr">
        <is>
          <t>Полюс Сухой Лог</t>
        </is>
      </c>
      <c r="C175" s="14" t="inlineStr">
        <is>
          <t>NTE240</t>
        </is>
      </c>
      <c r="D175" s="14" t="inlineStr">
        <is>
          <t>NTE</t>
        </is>
      </c>
      <c r="E175" s="14" t="inlineStr"/>
      <c r="F175" s="14" t="inlineStr"/>
      <c r="G175" s="14" t="inlineStr">
        <is>
          <t>план</t>
        </is>
      </c>
      <c r="H175" s="26" t="n">
        <v>46568</v>
      </c>
      <c r="I175" s="15">
        <f>IF(D175="TR100",$D$8,IF(H175&lt;$D$5,$D$6,$D$7))</f>
        <v>24</v>
      </c>
      <c r="J175" s="26">
        <f>EDATE(H175,I175)</f>
        <v>47299</v>
      </c>
    </row>
    <row r="176">
      <c r="A176" s="14" t="n">
        <v>166</v>
      </c>
      <c r="B176" s="17" t="inlineStr">
        <is>
          <t>Полюс Сухой Лог</t>
        </is>
      </c>
      <c r="C176" s="14" t="inlineStr">
        <is>
          <t>NTE240</t>
        </is>
      </c>
      <c r="D176" s="14" t="inlineStr">
        <is>
          <t>NTE</t>
        </is>
      </c>
      <c r="E176" s="14" t="inlineStr"/>
      <c r="F176" s="14" t="inlineStr"/>
      <c r="G176" s="14" t="inlineStr">
        <is>
          <t>план</t>
        </is>
      </c>
      <c r="H176" s="26" t="n">
        <v>46569</v>
      </c>
      <c r="I176" s="15">
        <f>IF(D176="TR100",$D$8,IF(H176&lt;$D$5,$D$6,$D$7))</f>
        <v>24</v>
      </c>
      <c r="J176" s="26">
        <f>EDATE(H176,I176)</f>
        <v>47300</v>
      </c>
    </row>
    <row r="177">
      <c r="A177" s="14" t="n">
        <v>167</v>
      </c>
      <c r="B177" s="17" t="inlineStr">
        <is>
          <t>Полюс Сухой Лог</t>
        </is>
      </c>
      <c r="C177" s="14" t="inlineStr">
        <is>
          <t>NTE240</t>
        </is>
      </c>
      <c r="D177" s="14" t="inlineStr">
        <is>
          <t>NTE</t>
        </is>
      </c>
      <c r="E177" s="14" t="inlineStr"/>
      <c r="F177" s="14" t="inlineStr"/>
      <c r="G177" s="14" t="inlineStr">
        <is>
          <t>план</t>
        </is>
      </c>
      <c r="H177" s="26" t="n">
        <v>46583</v>
      </c>
      <c r="I177" s="15">
        <f>IF(D177="TR100",$D$8,IF(H177&lt;$D$5,$D$6,$D$7))</f>
        <v>24</v>
      </c>
      <c r="J177" s="26">
        <f>EDATE(H177,I177)</f>
        <v>47314</v>
      </c>
    </row>
    <row r="178">
      <c r="A178" s="14" t="n">
        <v>168</v>
      </c>
      <c r="B178" s="17" t="inlineStr">
        <is>
          <t>Полюс Сухой Лог</t>
        </is>
      </c>
      <c r="C178" s="14" t="inlineStr">
        <is>
          <t>NTE240</t>
        </is>
      </c>
      <c r="D178" s="14" t="inlineStr">
        <is>
          <t>NTE</t>
        </is>
      </c>
      <c r="E178" s="14" t="inlineStr"/>
      <c r="F178" s="14" t="inlineStr"/>
      <c r="G178" s="14" t="inlineStr">
        <is>
          <t>план</t>
        </is>
      </c>
      <c r="H178" s="26" t="n">
        <v>46598</v>
      </c>
      <c r="I178" s="15">
        <f>IF(D178="TR100",$D$8,IF(H178&lt;$D$5,$D$6,$D$7))</f>
        <v>24</v>
      </c>
      <c r="J178" s="26">
        <f>EDATE(H178,I178)</f>
        <v>47329</v>
      </c>
    </row>
    <row r="179">
      <c r="A179" s="14" t="n">
        <v>169</v>
      </c>
      <c r="B179" s="17" t="inlineStr">
        <is>
          <t>Полюс Сухой Лог</t>
        </is>
      </c>
      <c r="C179" s="14" t="inlineStr">
        <is>
          <t>NTE240</t>
        </is>
      </c>
      <c r="D179" s="14" t="inlineStr">
        <is>
          <t>NTE</t>
        </is>
      </c>
      <c r="E179" s="14" t="inlineStr"/>
      <c r="F179" s="14" t="inlineStr"/>
      <c r="G179" s="14" t="inlineStr">
        <is>
          <t>план</t>
        </is>
      </c>
      <c r="H179" s="26" t="n">
        <v>46600</v>
      </c>
      <c r="I179" s="15">
        <f>IF(D179="TR100",$D$8,IF(H179&lt;$D$5,$D$6,$D$7))</f>
        <v>24</v>
      </c>
      <c r="J179" s="26">
        <f>EDATE(H179,I179)</f>
        <v>47331</v>
      </c>
    </row>
    <row r="180">
      <c r="A180" s="14" t="n">
        <v>170</v>
      </c>
      <c r="B180" s="17" t="inlineStr">
        <is>
          <t>Полюс Сухой Лог</t>
        </is>
      </c>
      <c r="C180" s="14" t="inlineStr">
        <is>
          <t>NTE240</t>
        </is>
      </c>
      <c r="D180" s="14" t="inlineStr">
        <is>
          <t>NTE</t>
        </is>
      </c>
      <c r="E180" s="14" t="inlineStr"/>
      <c r="F180" s="14" t="inlineStr"/>
      <c r="G180" s="14" t="inlineStr">
        <is>
          <t>план</t>
        </is>
      </c>
      <c r="H180" s="26" t="n">
        <v>46609</v>
      </c>
      <c r="I180" s="15">
        <f>IF(D180="TR100",$D$8,IF(H180&lt;$D$5,$D$6,$D$7))</f>
        <v>24</v>
      </c>
      <c r="J180" s="26">
        <f>EDATE(H180,I180)</f>
        <v>47340</v>
      </c>
    </row>
    <row r="181">
      <c r="A181" s="14" t="n">
        <v>171</v>
      </c>
      <c r="B181" s="17" t="inlineStr">
        <is>
          <t>Полюс Сухой Лог</t>
        </is>
      </c>
      <c r="C181" s="14" t="inlineStr">
        <is>
          <t>NTE240</t>
        </is>
      </c>
      <c r="D181" s="14" t="inlineStr">
        <is>
          <t>NTE</t>
        </is>
      </c>
      <c r="E181" s="14" t="inlineStr"/>
      <c r="F181" s="14" t="inlineStr"/>
      <c r="G181" s="14" t="inlineStr">
        <is>
          <t>план</t>
        </is>
      </c>
      <c r="H181" s="26" t="n">
        <v>46619</v>
      </c>
      <c r="I181" s="15">
        <f>IF(D181="TR100",$D$8,IF(H181&lt;$D$5,$D$6,$D$7))</f>
        <v>24</v>
      </c>
      <c r="J181" s="26">
        <f>EDATE(H181,I181)</f>
        <v>47350</v>
      </c>
    </row>
    <row r="182">
      <c r="A182" s="14" t="n">
        <v>172</v>
      </c>
      <c r="B182" s="17" t="inlineStr">
        <is>
          <t>Полюс Сухой Лог</t>
        </is>
      </c>
      <c r="C182" s="14" t="inlineStr">
        <is>
          <t>NTE240</t>
        </is>
      </c>
      <c r="D182" s="14" t="inlineStr">
        <is>
          <t>NTE</t>
        </is>
      </c>
      <c r="E182" s="14" t="inlineStr"/>
      <c r="F182" s="14" t="inlineStr"/>
      <c r="G182" s="14" t="inlineStr">
        <is>
          <t>план</t>
        </is>
      </c>
      <c r="H182" s="26" t="n">
        <v>46629</v>
      </c>
      <c r="I182" s="15">
        <f>IF(D182="TR100",$D$8,IF(H182&lt;$D$5,$D$6,$D$7))</f>
        <v>24</v>
      </c>
      <c r="J182" s="26">
        <f>EDATE(H182,I182)</f>
        <v>47360</v>
      </c>
    </row>
    <row r="183">
      <c r="A183" s="14" t="n">
        <v>173</v>
      </c>
      <c r="B183" s="17" t="inlineStr">
        <is>
          <t>Полюс Сухой Лог</t>
        </is>
      </c>
      <c r="C183" s="14" t="inlineStr">
        <is>
          <t>NTE240</t>
        </is>
      </c>
      <c r="D183" s="14" t="inlineStr">
        <is>
          <t>NTE</t>
        </is>
      </c>
      <c r="E183" s="14" t="inlineStr"/>
      <c r="F183" s="14" t="inlineStr"/>
      <c r="G183" s="14" t="inlineStr">
        <is>
          <t>план</t>
        </is>
      </c>
      <c r="H183" s="26" t="n">
        <v>46631</v>
      </c>
      <c r="I183" s="15">
        <f>IF(D183="TR100",$D$8,IF(H183&lt;$D$5,$D$6,$D$7))</f>
        <v>24</v>
      </c>
      <c r="J183" s="26">
        <f>EDATE(H183,I183)</f>
        <v>47362</v>
      </c>
    </row>
    <row r="184">
      <c r="A184" s="14" t="n">
        <v>174</v>
      </c>
      <c r="B184" s="17" t="inlineStr">
        <is>
          <t>Полюс Сухой Лог</t>
        </is>
      </c>
      <c r="C184" s="14" t="inlineStr">
        <is>
          <t>NTE240</t>
        </is>
      </c>
      <c r="D184" s="14" t="inlineStr">
        <is>
          <t>NTE</t>
        </is>
      </c>
      <c r="E184" s="14" t="inlineStr"/>
      <c r="F184" s="14" t="inlineStr"/>
      <c r="G184" s="14" t="inlineStr">
        <is>
          <t>план</t>
        </is>
      </c>
      <c r="H184" s="26" t="n">
        <v>46640</v>
      </c>
      <c r="I184" s="15">
        <f>IF(D184="TR100",$D$8,IF(H184&lt;$D$5,$D$6,$D$7))</f>
        <v>24</v>
      </c>
      <c r="J184" s="26">
        <f>EDATE(H184,I184)</f>
        <v>47371</v>
      </c>
    </row>
    <row r="185">
      <c r="A185" s="14" t="n">
        <v>175</v>
      </c>
      <c r="B185" s="17" t="inlineStr">
        <is>
          <t>Полюс Сухой Лог</t>
        </is>
      </c>
      <c r="C185" s="14" t="inlineStr">
        <is>
          <t>NTE240</t>
        </is>
      </c>
      <c r="D185" s="14" t="inlineStr">
        <is>
          <t>NTE</t>
        </is>
      </c>
      <c r="E185" s="14" t="inlineStr"/>
      <c r="F185" s="14" t="inlineStr"/>
      <c r="G185" s="14" t="inlineStr">
        <is>
          <t>план</t>
        </is>
      </c>
      <c r="H185" s="26" t="n">
        <v>46650</v>
      </c>
      <c r="I185" s="15">
        <f>IF(D185="TR100",$D$8,IF(H185&lt;$D$5,$D$6,$D$7))</f>
        <v>24</v>
      </c>
      <c r="J185" s="26">
        <f>EDATE(H185,I185)</f>
        <v>47381</v>
      </c>
    </row>
    <row r="186">
      <c r="A186" s="14" t="n">
        <v>176</v>
      </c>
      <c r="B186" s="17" t="inlineStr">
        <is>
          <t>Полюс Сухой Лог</t>
        </is>
      </c>
      <c r="C186" s="14" t="inlineStr">
        <is>
          <t>NTE240</t>
        </is>
      </c>
      <c r="D186" s="14" t="inlineStr">
        <is>
          <t>NTE</t>
        </is>
      </c>
      <c r="E186" s="14" t="inlineStr"/>
      <c r="F186" s="14" t="inlineStr"/>
      <c r="G186" s="14" t="inlineStr">
        <is>
          <t>план</t>
        </is>
      </c>
      <c r="H186" s="26" t="n">
        <v>46660</v>
      </c>
      <c r="I186" s="15">
        <f>IF(D186="TR100",$D$8,IF(H186&lt;$D$5,$D$6,$D$7))</f>
        <v>24</v>
      </c>
      <c r="J186" s="26">
        <f>EDATE(H186,I186)</f>
        <v>47391</v>
      </c>
    </row>
    <row r="187">
      <c r="A187" s="14" t="n">
        <v>177</v>
      </c>
      <c r="B187" s="17" t="inlineStr">
        <is>
          <t>Полюс Сухой Лог</t>
        </is>
      </c>
      <c r="C187" s="14" t="inlineStr">
        <is>
          <t>NTE240</t>
        </is>
      </c>
      <c r="D187" s="14" t="inlineStr">
        <is>
          <t>NTE</t>
        </is>
      </c>
      <c r="E187" s="14" t="inlineStr"/>
      <c r="F187" s="14" t="inlineStr"/>
      <c r="G187" s="14" t="inlineStr">
        <is>
          <t>план</t>
        </is>
      </c>
      <c r="H187" s="26" t="n">
        <v>46661</v>
      </c>
      <c r="I187" s="15">
        <f>IF(D187="TR100",$D$8,IF(H187&lt;$D$5,$D$6,$D$7))</f>
        <v>24</v>
      </c>
      <c r="J187" s="26">
        <f>EDATE(H187,I187)</f>
        <v>47392</v>
      </c>
    </row>
    <row r="188">
      <c r="A188" s="14" t="n">
        <v>178</v>
      </c>
      <c r="B188" s="17" t="inlineStr">
        <is>
          <t>Полюс Сухой Лог</t>
        </is>
      </c>
      <c r="C188" s="14" t="inlineStr">
        <is>
          <t>NTE240</t>
        </is>
      </c>
      <c r="D188" s="14" t="inlineStr">
        <is>
          <t>NTE</t>
        </is>
      </c>
      <c r="E188" s="14" t="inlineStr"/>
      <c r="F188" s="14" t="inlineStr"/>
      <c r="G188" s="14" t="inlineStr">
        <is>
          <t>план</t>
        </is>
      </c>
      <c r="H188" s="26" t="n">
        <v>46670</v>
      </c>
      <c r="I188" s="15">
        <f>IF(D188="TR100",$D$8,IF(H188&lt;$D$5,$D$6,$D$7))</f>
        <v>24</v>
      </c>
      <c r="J188" s="26">
        <f>EDATE(H188,I188)</f>
        <v>47401</v>
      </c>
    </row>
    <row r="189">
      <c r="A189" s="14" t="n">
        <v>179</v>
      </c>
      <c r="B189" s="17" t="inlineStr">
        <is>
          <t>Полюс Сухой Лог</t>
        </is>
      </c>
      <c r="C189" s="14" t="inlineStr">
        <is>
          <t>NTE240</t>
        </is>
      </c>
      <c r="D189" s="14" t="inlineStr">
        <is>
          <t>NTE</t>
        </is>
      </c>
      <c r="E189" s="14" t="inlineStr"/>
      <c r="F189" s="14" t="inlineStr"/>
      <c r="G189" s="14" t="inlineStr">
        <is>
          <t>план</t>
        </is>
      </c>
      <c r="H189" s="26" t="n">
        <v>46680</v>
      </c>
      <c r="I189" s="15">
        <f>IF(D189="TR100",$D$8,IF(H189&lt;$D$5,$D$6,$D$7))</f>
        <v>24</v>
      </c>
      <c r="J189" s="26">
        <f>EDATE(H189,I189)</f>
        <v>47411</v>
      </c>
    </row>
    <row r="190">
      <c r="A190" s="14" t="n">
        <v>180</v>
      </c>
      <c r="B190" s="17" t="inlineStr">
        <is>
          <t>Полюс Сухой Лог</t>
        </is>
      </c>
      <c r="C190" s="14" t="inlineStr">
        <is>
          <t>NTE240</t>
        </is>
      </c>
      <c r="D190" s="14" t="inlineStr">
        <is>
          <t>NTE</t>
        </is>
      </c>
      <c r="E190" s="14" t="inlineStr"/>
      <c r="F190" s="14" t="inlineStr"/>
      <c r="G190" s="14" t="inlineStr">
        <is>
          <t>план</t>
        </is>
      </c>
      <c r="H190" s="26" t="n">
        <v>46690</v>
      </c>
      <c r="I190" s="15">
        <f>IF(D190="TR100",$D$8,IF(H190&lt;$D$5,$D$6,$D$7))</f>
        <v>24</v>
      </c>
      <c r="J190" s="26">
        <f>EDATE(H190,I190)</f>
        <v>47421</v>
      </c>
    </row>
    <row r="191">
      <c r="A191" s="14" t="n">
        <v>181</v>
      </c>
      <c r="B191" s="17" t="inlineStr">
        <is>
          <t>Полюс Сухой Лог</t>
        </is>
      </c>
      <c r="C191" s="14" t="inlineStr">
        <is>
          <t>NTE240</t>
        </is>
      </c>
      <c r="D191" s="14" t="inlineStr">
        <is>
          <t>NTE</t>
        </is>
      </c>
      <c r="E191" s="14" t="inlineStr"/>
      <c r="F191" s="14" t="inlineStr"/>
      <c r="G191" s="14" t="inlineStr">
        <is>
          <t>план</t>
        </is>
      </c>
      <c r="H191" s="26" t="n">
        <v>46692</v>
      </c>
      <c r="I191" s="15">
        <f>IF(D191="TR100",$D$8,IF(H191&lt;$D$5,$D$6,$D$7))</f>
        <v>24</v>
      </c>
      <c r="J191" s="26">
        <f>EDATE(H191,I191)</f>
        <v>47423</v>
      </c>
    </row>
    <row r="192">
      <c r="A192" s="14" t="n">
        <v>182</v>
      </c>
      <c r="B192" s="17" t="inlineStr">
        <is>
          <t>Полюс Сухой Лог</t>
        </is>
      </c>
      <c r="C192" s="14" t="inlineStr">
        <is>
          <t>NTE240</t>
        </is>
      </c>
      <c r="D192" s="14" t="inlineStr">
        <is>
          <t>NTE</t>
        </is>
      </c>
      <c r="E192" s="14" t="inlineStr"/>
      <c r="F192" s="14" t="inlineStr"/>
      <c r="G192" s="14" t="inlineStr">
        <is>
          <t>план</t>
        </is>
      </c>
      <c r="H192" s="26" t="n">
        <v>46701</v>
      </c>
      <c r="I192" s="15">
        <f>IF(D192="TR100",$D$8,IF(H192&lt;$D$5,$D$6,$D$7))</f>
        <v>24</v>
      </c>
      <c r="J192" s="26">
        <f>EDATE(H192,I192)</f>
        <v>47432</v>
      </c>
    </row>
    <row r="193">
      <c r="A193" s="14" t="n">
        <v>183</v>
      </c>
      <c r="B193" s="17" t="inlineStr">
        <is>
          <t>Полюс Сухой Лог</t>
        </is>
      </c>
      <c r="C193" s="14" t="inlineStr">
        <is>
          <t>NTE240</t>
        </is>
      </c>
      <c r="D193" s="14" t="inlineStr">
        <is>
          <t>NTE</t>
        </is>
      </c>
      <c r="E193" s="14" t="inlineStr"/>
      <c r="F193" s="14" t="inlineStr"/>
      <c r="G193" s="14" t="inlineStr">
        <is>
          <t>план</t>
        </is>
      </c>
      <c r="H193" s="26" t="n">
        <v>46711</v>
      </c>
      <c r="I193" s="15">
        <f>IF(D193="TR100",$D$8,IF(H193&lt;$D$5,$D$6,$D$7))</f>
        <v>24</v>
      </c>
      <c r="J193" s="26">
        <f>EDATE(H193,I193)</f>
        <v>47442</v>
      </c>
    </row>
    <row r="194">
      <c r="A194" s="14" t="n">
        <v>184</v>
      </c>
      <c r="B194" s="17" t="inlineStr">
        <is>
          <t>Полюс Сухой Лог</t>
        </is>
      </c>
      <c r="C194" s="14" t="inlineStr">
        <is>
          <t>NTE240</t>
        </is>
      </c>
      <c r="D194" s="14" t="inlineStr">
        <is>
          <t>NTE</t>
        </is>
      </c>
      <c r="E194" s="14" t="inlineStr"/>
      <c r="F194" s="14" t="inlineStr"/>
      <c r="G194" s="14" t="inlineStr">
        <is>
          <t>план</t>
        </is>
      </c>
      <c r="H194" s="26" t="n">
        <v>46721</v>
      </c>
      <c r="I194" s="15">
        <f>IF(D194="TR100",$D$8,IF(H194&lt;$D$5,$D$6,$D$7))</f>
        <v>24</v>
      </c>
      <c r="J194" s="26">
        <f>EDATE(H194,I194)</f>
        <v>47452</v>
      </c>
    </row>
    <row r="195">
      <c r="A195" s="14" t="n">
        <v>185</v>
      </c>
      <c r="B195" s="17" t="inlineStr">
        <is>
          <t>Полюс Сухой Лог</t>
        </is>
      </c>
      <c r="C195" s="14" t="inlineStr">
        <is>
          <t>NTE240</t>
        </is>
      </c>
      <c r="D195" s="14" t="inlineStr">
        <is>
          <t>NTE</t>
        </is>
      </c>
      <c r="E195" s="14" t="inlineStr"/>
      <c r="F195" s="14" t="inlineStr"/>
      <c r="G195" s="14" t="inlineStr">
        <is>
          <t>план</t>
        </is>
      </c>
      <c r="H195" s="26" t="n">
        <v>46722</v>
      </c>
      <c r="I195" s="15">
        <f>IF(D195="TR100",$D$8,IF(H195&lt;$D$5,$D$6,$D$7))</f>
        <v>24</v>
      </c>
      <c r="J195" s="26">
        <f>EDATE(H195,I195)</f>
        <v>47453</v>
      </c>
    </row>
    <row r="196">
      <c r="A196" s="14" t="n">
        <v>186</v>
      </c>
      <c r="B196" s="17" t="inlineStr">
        <is>
          <t>Полюс Сухой Лог</t>
        </is>
      </c>
      <c r="C196" s="14" t="inlineStr">
        <is>
          <t>NTE240</t>
        </is>
      </c>
      <c r="D196" s="14" t="inlineStr">
        <is>
          <t>NTE</t>
        </is>
      </c>
      <c r="E196" s="14" t="inlineStr"/>
      <c r="F196" s="14" t="inlineStr"/>
      <c r="G196" s="14" t="inlineStr">
        <is>
          <t>план</t>
        </is>
      </c>
      <c r="H196" s="26" t="n">
        <v>46731</v>
      </c>
      <c r="I196" s="15">
        <f>IF(D196="TR100",$D$8,IF(H196&lt;$D$5,$D$6,$D$7))</f>
        <v>24</v>
      </c>
      <c r="J196" s="26">
        <f>EDATE(H196,I196)</f>
        <v>47462</v>
      </c>
    </row>
    <row r="197">
      <c r="A197" s="14" t="n">
        <v>187</v>
      </c>
      <c r="B197" s="17" t="inlineStr">
        <is>
          <t>Полюс Сухой Лог</t>
        </is>
      </c>
      <c r="C197" s="14" t="inlineStr">
        <is>
          <t>NTE240</t>
        </is>
      </c>
      <c r="D197" s="14" t="inlineStr">
        <is>
          <t>NTE</t>
        </is>
      </c>
      <c r="E197" s="14" t="inlineStr"/>
      <c r="F197" s="14" t="inlineStr"/>
      <c r="G197" s="14" t="inlineStr">
        <is>
          <t>план</t>
        </is>
      </c>
      <c r="H197" s="26" t="n">
        <v>46741</v>
      </c>
      <c r="I197" s="15">
        <f>IF(D197="TR100",$D$8,IF(H197&lt;$D$5,$D$6,$D$7))</f>
        <v>24</v>
      </c>
      <c r="J197" s="26">
        <f>EDATE(H197,I197)</f>
        <v>47472</v>
      </c>
    </row>
    <row r="198">
      <c r="A198" s="14" t="n">
        <v>188</v>
      </c>
      <c r="B198" s="17" t="inlineStr">
        <is>
          <t>Полюс Сухой Лог</t>
        </is>
      </c>
      <c r="C198" s="14" t="inlineStr">
        <is>
          <t>NTE240</t>
        </is>
      </c>
      <c r="D198" s="14" t="inlineStr">
        <is>
          <t>NTE</t>
        </is>
      </c>
      <c r="E198" s="14" t="inlineStr"/>
      <c r="F198" s="14" t="inlineStr"/>
      <c r="G198" s="14" t="inlineStr">
        <is>
          <t>план</t>
        </is>
      </c>
      <c r="H198" s="26" t="n">
        <v>46751</v>
      </c>
      <c r="I198" s="15">
        <f>IF(D198="TR100",$D$8,IF(H198&lt;$D$5,$D$6,$D$7))</f>
        <v>24</v>
      </c>
      <c r="J198" s="26">
        <f>EDATE(H198,I198)</f>
        <v>47482</v>
      </c>
    </row>
    <row r="199">
      <c r="A199" s="14" t="n">
        <v>189</v>
      </c>
      <c r="B199" s="17" t="inlineStr">
        <is>
          <t>Полюс Сухой Лог</t>
        </is>
      </c>
      <c r="C199" s="14" t="inlineStr">
        <is>
          <t>NTE240</t>
        </is>
      </c>
      <c r="D199" s="14" t="inlineStr">
        <is>
          <t>NTE</t>
        </is>
      </c>
      <c r="E199" s="14" t="inlineStr"/>
      <c r="F199" s="14" t="inlineStr"/>
      <c r="G199" s="14" t="inlineStr">
        <is>
          <t>план</t>
        </is>
      </c>
      <c r="H199" s="26" t="n">
        <v>46753</v>
      </c>
      <c r="I199" s="15">
        <f>IF(D199="TR100",$D$8,IF(H199&lt;$D$5,$D$6,$D$7))</f>
        <v>24</v>
      </c>
      <c r="J199" s="26">
        <f>EDATE(H199,I199)</f>
        <v>47484</v>
      </c>
    </row>
    <row r="200">
      <c r="A200" s="14" t="n">
        <v>190</v>
      </c>
      <c r="B200" s="17" t="inlineStr">
        <is>
          <t>Полюс Сухой Лог</t>
        </is>
      </c>
      <c r="C200" s="14" t="inlineStr">
        <is>
          <t>NTE240</t>
        </is>
      </c>
      <c r="D200" s="14" t="inlineStr">
        <is>
          <t>NTE</t>
        </is>
      </c>
      <c r="E200" s="14" t="inlineStr"/>
      <c r="F200" s="14" t="inlineStr"/>
      <c r="G200" s="14" t="inlineStr">
        <is>
          <t>план</t>
        </is>
      </c>
      <c r="H200" s="26" t="n">
        <v>46767</v>
      </c>
      <c r="I200" s="15">
        <f>IF(D200="TR100",$D$8,IF(H200&lt;$D$5,$D$6,$D$7))</f>
        <v>24</v>
      </c>
      <c r="J200" s="26">
        <f>EDATE(H200,I200)</f>
        <v>47498</v>
      </c>
    </row>
    <row r="201">
      <c r="A201" s="14" t="n">
        <v>191</v>
      </c>
      <c r="B201" s="17" t="inlineStr">
        <is>
          <t>Полюс Сухой Лог</t>
        </is>
      </c>
      <c r="C201" s="14" t="inlineStr">
        <is>
          <t>NTE240</t>
        </is>
      </c>
      <c r="D201" s="14" t="inlineStr">
        <is>
          <t>NTE</t>
        </is>
      </c>
      <c r="E201" s="14" t="inlineStr"/>
      <c r="F201" s="14" t="inlineStr"/>
      <c r="G201" s="14" t="inlineStr">
        <is>
          <t>план</t>
        </is>
      </c>
      <c r="H201" s="26" t="n">
        <v>46782</v>
      </c>
      <c r="I201" s="15">
        <f>IF(D201="TR100",$D$8,IF(H201&lt;$D$5,$D$6,$D$7))</f>
        <v>24</v>
      </c>
      <c r="J201" s="26">
        <f>EDATE(H201,I201)</f>
        <v>47513</v>
      </c>
    </row>
    <row r="202">
      <c r="A202" s="14" t="n">
        <v>192</v>
      </c>
      <c r="B202" s="17" t="inlineStr">
        <is>
          <t>Полюс Сухой Лог</t>
        </is>
      </c>
      <c r="C202" s="14" t="inlineStr">
        <is>
          <t>NTE240</t>
        </is>
      </c>
      <c r="D202" s="14" t="inlineStr">
        <is>
          <t>NTE</t>
        </is>
      </c>
      <c r="E202" s="14" t="inlineStr"/>
      <c r="F202" s="14" t="inlineStr"/>
      <c r="G202" s="14" t="inlineStr">
        <is>
          <t>план</t>
        </is>
      </c>
      <c r="H202" s="26" t="n">
        <v>46784</v>
      </c>
      <c r="I202" s="15">
        <f>IF(D202="TR100",$D$8,IF(H202&lt;$D$5,$D$6,$D$7))</f>
        <v>24</v>
      </c>
      <c r="J202" s="26">
        <f>EDATE(H202,I202)</f>
        <v>47515</v>
      </c>
    </row>
    <row r="203">
      <c r="A203" s="14" t="n">
        <v>193</v>
      </c>
      <c r="B203" s="17" t="inlineStr">
        <is>
          <t>Полюс Сухой Лог</t>
        </is>
      </c>
      <c r="C203" s="14" t="inlineStr">
        <is>
          <t>NTE240</t>
        </is>
      </c>
      <c r="D203" s="14" t="inlineStr">
        <is>
          <t>NTE</t>
        </is>
      </c>
      <c r="E203" s="14" t="inlineStr"/>
      <c r="F203" s="14" t="inlineStr"/>
      <c r="G203" s="14" t="inlineStr">
        <is>
          <t>план</t>
        </is>
      </c>
      <c r="H203" s="26" t="n">
        <v>46798</v>
      </c>
      <c r="I203" s="15">
        <f>IF(D203="TR100",$D$8,IF(H203&lt;$D$5,$D$6,$D$7))</f>
        <v>24</v>
      </c>
      <c r="J203" s="26">
        <f>EDATE(H203,I203)</f>
        <v>47529</v>
      </c>
    </row>
    <row r="204">
      <c r="A204" s="14" t="n">
        <v>194</v>
      </c>
      <c r="B204" s="17" t="inlineStr">
        <is>
          <t>Полюс Сухой Лог</t>
        </is>
      </c>
      <c r="C204" s="14" t="inlineStr">
        <is>
          <t>NTE240</t>
        </is>
      </c>
      <c r="D204" s="14" t="inlineStr">
        <is>
          <t>NTE</t>
        </is>
      </c>
      <c r="E204" s="14" t="inlineStr"/>
      <c r="F204" s="14" t="inlineStr"/>
      <c r="G204" s="14" t="inlineStr">
        <is>
          <t>план</t>
        </is>
      </c>
      <c r="H204" s="26" t="n">
        <v>46811</v>
      </c>
      <c r="I204" s="15">
        <f>IF(D204="TR100",$D$8,IF(H204&lt;$D$5,$D$6,$D$7))</f>
        <v>24</v>
      </c>
      <c r="J204" s="26">
        <f>EDATE(H204,I204)</f>
        <v>47542</v>
      </c>
    </row>
    <row r="205">
      <c r="A205" s="14" t="n">
        <v>195</v>
      </c>
      <c r="B205" s="17" t="inlineStr">
        <is>
          <t>Полюс Сухой Лог</t>
        </is>
      </c>
      <c r="C205" s="14" t="inlineStr">
        <is>
          <t>NTE240</t>
        </is>
      </c>
      <c r="D205" s="14" t="inlineStr">
        <is>
          <t>NTE</t>
        </is>
      </c>
      <c r="E205" s="14" t="inlineStr"/>
      <c r="F205" s="14" t="inlineStr"/>
      <c r="G205" s="14" t="inlineStr">
        <is>
          <t>план</t>
        </is>
      </c>
      <c r="H205" s="26" t="n">
        <v>46813</v>
      </c>
      <c r="I205" s="15">
        <f>IF(D205="TR100",$D$8,IF(H205&lt;$D$5,$D$6,$D$7))</f>
        <v>24</v>
      </c>
      <c r="J205" s="26">
        <f>EDATE(H205,I205)</f>
        <v>47543</v>
      </c>
    </row>
    <row r="206">
      <c r="A206" s="14" t="n">
        <v>196</v>
      </c>
      <c r="B206" s="17" t="inlineStr">
        <is>
          <t>Полюс Сухой Лог</t>
        </is>
      </c>
      <c r="C206" s="14" t="inlineStr">
        <is>
          <t>NTE240</t>
        </is>
      </c>
      <c r="D206" s="14" t="inlineStr">
        <is>
          <t>NTE</t>
        </is>
      </c>
      <c r="E206" s="14" t="inlineStr"/>
      <c r="F206" s="14" t="inlineStr"/>
      <c r="G206" s="14" t="inlineStr">
        <is>
          <t>план</t>
        </is>
      </c>
      <c r="H206" s="26" t="n">
        <v>46827</v>
      </c>
      <c r="I206" s="15">
        <f>IF(D206="TR100",$D$8,IF(H206&lt;$D$5,$D$6,$D$7))</f>
        <v>24</v>
      </c>
      <c r="J206" s="26">
        <f>EDATE(H206,I206)</f>
        <v>47557</v>
      </c>
    </row>
    <row r="207">
      <c r="A207" s="14" t="n">
        <v>197</v>
      </c>
      <c r="B207" s="17" t="inlineStr">
        <is>
          <t>Полюс Сухой Лог</t>
        </is>
      </c>
      <c r="C207" s="14" t="inlineStr">
        <is>
          <t>NTE240</t>
        </is>
      </c>
      <c r="D207" s="14" t="inlineStr">
        <is>
          <t>NTE</t>
        </is>
      </c>
      <c r="E207" s="14" t="inlineStr"/>
      <c r="F207" s="14" t="inlineStr"/>
      <c r="G207" s="14" t="inlineStr">
        <is>
          <t>план</t>
        </is>
      </c>
      <c r="H207" s="26" t="n">
        <v>46842</v>
      </c>
      <c r="I207" s="15">
        <f>IF(D207="TR100",$D$8,IF(H207&lt;$D$5,$D$6,$D$7))</f>
        <v>24</v>
      </c>
      <c r="J207" s="26">
        <f>EDATE(H207,I207)</f>
        <v>47572</v>
      </c>
    </row>
    <row r="208">
      <c r="A208" s="14" t="n">
        <v>198</v>
      </c>
      <c r="B208" s="17" t="inlineStr">
        <is>
          <t>Полюс Сухой Лог</t>
        </is>
      </c>
      <c r="C208" s="14" t="inlineStr">
        <is>
          <t>NTE240</t>
        </is>
      </c>
      <c r="D208" s="14" t="inlineStr">
        <is>
          <t>NTE</t>
        </is>
      </c>
      <c r="E208" s="14" t="inlineStr"/>
      <c r="F208" s="14" t="inlineStr"/>
      <c r="G208" s="14" t="inlineStr">
        <is>
          <t>план</t>
        </is>
      </c>
      <c r="H208" s="26" t="n">
        <v>46844</v>
      </c>
      <c r="I208" s="15">
        <f>IF(D208="TR100",$D$8,IF(H208&lt;$D$5,$D$6,$D$7))</f>
        <v>24</v>
      </c>
      <c r="J208" s="26">
        <f>EDATE(H208,I208)</f>
        <v>47574</v>
      </c>
    </row>
    <row r="209">
      <c r="A209" s="14" t="n">
        <v>199</v>
      </c>
      <c r="B209" s="17" t="inlineStr">
        <is>
          <t>Полюс Сухой Лог</t>
        </is>
      </c>
      <c r="C209" s="14" t="inlineStr">
        <is>
          <t>NTE240</t>
        </is>
      </c>
      <c r="D209" s="14" t="inlineStr">
        <is>
          <t>NTE</t>
        </is>
      </c>
      <c r="E209" s="14" t="inlineStr"/>
      <c r="F209" s="14" t="inlineStr"/>
      <c r="G209" s="14" t="inlineStr">
        <is>
          <t>план</t>
        </is>
      </c>
      <c r="H209" s="26" t="n">
        <v>46853</v>
      </c>
      <c r="I209" s="15">
        <f>IF(D209="TR100",$D$8,IF(H209&lt;$D$5,$D$6,$D$7))</f>
        <v>24</v>
      </c>
      <c r="J209" s="26">
        <f>EDATE(H209,I209)</f>
        <v>47583</v>
      </c>
    </row>
    <row r="210">
      <c r="A210" s="14" t="n">
        <v>200</v>
      </c>
      <c r="B210" s="17" t="inlineStr">
        <is>
          <t>Полюс Сухой Лог</t>
        </is>
      </c>
      <c r="C210" s="14" t="inlineStr">
        <is>
          <t>NTE240</t>
        </is>
      </c>
      <c r="D210" s="14" t="inlineStr">
        <is>
          <t>NTE</t>
        </is>
      </c>
      <c r="E210" s="14" t="inlineStr"/>
      <c r="F210" s="14" t="inlineStr"/>
      <c r="G210" s="14" t="inlineStr">
        <is>
          <t>план</t>
        </is>
      </c>
      <c r="H210" s="26" t="n">
        <v>46863</v>
      </c>
      <c r="I210" s="15">
        <f>IF(D210="TR100",$D$8,IF(H210&lt;$D$5,$D$6,$D$7))</f>
        <v>24</v>
      </c>
      <c r="J210" s="26">
        <f>EDATE(H210,I210)</f>
        <v>47593</v>
      </c>
    </row>
    <row r="211">
      <c r="A211" s="14" t="n">
        <v>201</v>
      </c>
      <c r="B211" s="17" t="inlineStr">
        <is>
          <t>Полюс Сухой Лог</t>
        </is>
      </c>
      <c r="C211" s="14" t="inlineStr">
        <is>
          <t>NTE240</t>
        </is>
      </c>
      <c r="D211" s="14" t="inlineStr">
        <is>
          <t>NTE</t>
        </is>
      </c>
      <c r="E211" s="14" t="inlineStr"/>
      <c r="F211" s="14" t="inlineStr"/>
      <c r="G211" s="14" t="inlineStr">
        <is>
          <t>план</t>
        </is>
      </c>
      <c r="H211" s="26" t="n">
        <v>46873</v>
      </c>
      <c r="I211" s="15">
        <f>IF(D211="TR100",$D$8,IF(H211&lt;$D$5,$D$6,$D$7))</f>
        <v>24</v>
      </c>
      <c r="J211" s="26">
        <f>EDATE(H211,I211)</f>
        <v>47603</v>
      </c>
    </row>
    <row r="212">
      <c r="A212" s="14" t="n">
        <v>202</v>
      </c>
      <c r="B212" s="17" t="inlineStr">
        <is>
          <t>Полюс Сухой Лог</t>
        </is>
      </c>
      <c r="C212" s="14" t="inlineStr">
        <is>
          <t>NTE240</t>
        </is>
      </c>
      <c r="D212" s="14" t="inlineStr">
        <is>
          <t>NTE</t>
        </is>
      </c>
      <c r="E212" s="14" t="inlineStr"/>
      <c r="F212" s="14" t="inlineStr"/>
      <c r="G212" s="14" t="inlineStr">
        <is>
          <t>план</t>
        </is>
      </c>
      <c r="H212" s="26" t="n">
        <v>46874</v>
      </c>
      <c r="I212" s="15">
        <f>IF(D212="TR100",$D$8,IF(H212&lt;$D$5,$D$6,$D$7))</f>
        <v>24</v>
      </c>
      <c r="J212" s="26">
        <f>EDATE(H212,I212)</f>
        <v>47604</v>
      </c>
    </row>
    <row r="213">
      <c r="A213" s="14" t="n">
        <v>203</v>
      </c>
      <c r="B213" s="17" t="inlineStr">
        <is>
          <t>Полюс Сухой Лог</t>
        </is>
      </c>
      <c r="C213" s="14" t="inlineStr">
        <is>
          <t>NTE240</t>
        </is>
      </c>
      <c r="D213" s="14" t="inlineStr">
        <is>
          <t>NTE</t>
        </is>
      </c>
      <c r="E213" s="14" t="inlineStr"/>
      <c r="F213" s="14" t="inlineStr"/>
      <c r="G213" s="14" t="inlineStr">
        <is>
          <t>план</t>
        </is>
      </c>
      <c r="H213" s="26" t="n">
        <v>46883</v>
      </c>
      <c r="I213" s="15">
        <f>IF(D213="TR100",$D$8,IF(H213&lt;$D$5,$D$6,$D$7))</f>
        <v>24</v>
      </c>
      <c r="J213" s="26">
        <f>EDATE(H213,I213)</f>
        <v>47613</v>
      </c>
    </row>
    <row r="214">
      <c r="A214" s="14" t="n">
        <v>204</v>
      </c>
      <c r="B214" s="17" t="inlineStr">
        <is>
          <t>Полюс Сухой Лог</t>
        </is>
      </c>
      <c r="C214" s="14" t="inlineStr">
        <is>
          <t>NTE240</t>
        </is>
      </c>
      <c r="D214" s="14" t="inlineStr">
        <is>
          <t>NTE</t>
        </is>
      </c>
      <c r="E214" s="14" t="inlineStr"/>
      <c r="F214" s="14" t="inlineStr"/>
      <c r="G214" s="14" t="inlineStr">
        <is>
          <t>план</t>
        </is>
      </c>
      <c r="H214" s="26" t="n">
        <v>46893</v>
      </c>
      <c r="I214" s="15">
        <f>IF(D214="TR100",$D$8,IF(H214&lt;$D$5,$D$6,$D$7))</f>
        <v>24</v>
      </c>
      <c r="J214" s="26">
        <f>EDATE(H214,I214)</f>
        <v>47623</v>
      </c>
    </row>
    <row r="215">
      <c r="A215" s="14" t="n">
        <v>205</v>
      </c>
      <c r="B215" s="17" t="inlineStr">
        <is>
          <t>Полюс Сухой Лог</t>
        </is>
      </c>
      <c r="C215" s="14" t="inlineStr">
        <is>
          <t>NTE240</t>
        </is>
      </c>
      <c r="D215" s="14" t="inlineStr">
        <is>
          <t>NTE</t>
        </is>
      </c>
      <c r="E215" s="14" t="inlineStr"/>
      <c r="F215" s="14" t="inlineStr"/>
      <c r="G215" s="14" t="inlineStr">
        <is>
          <t>план</t>
        </is>
      </c>
      <c r="H215" s="26" t="n">
        <v>46903</v>
      </c>
      <c r="I215" s="15">
        <f>IF(D215="TR100",$D$8,IF(H215&lt;$D$5,$D$6,$D$7))</f>
        <v>24</v>
      </c>
      <c r="J215" s="26">
        <f>EDATE(H215,I215)</f>
        <v>47633</v>
      </c>
    </row>
    <row r="216">
      <c r="A216" s="14" t="n">
        <v>206</v>
      </c>
      <c r="B216" s="17" t="inlineStr">
        <is>
          <t>Полюс Сухой Лог</t>
        </is>
      </c>
      <c r="C216" s="14" t="inlineStr">
        <is>
          <t>NTE240</t>
        </is>
      </c>
      <c r="D216" s="14" t="inlineStr">
        <is>
          <t>NTE</t>
        </is>
      </c>
      <c r="E216" s="14" t="inlineStr"/>
      <c r="F216" s="14" t="inlineStr"/>
      <c r="G216" s="14" t="inlineStr">
        <is>
          <t>план</t>
        </is>
      </c>
      <c r="H216" s="26" t="n">
        <v>46905</v>
      </c>
      <c r="I216" s="15">
        <f>IF(D216="TR100",$D$8,IF(H216&lt;$D$5,$D$6,$D$7))</f>
        <v>24</v>
      </c>
      <c r="J216" s="26">
        <f>EDATE(H216,I216)</f>
        <v>47635</v>
      </c>
    </row>
    <row r="217">
      <c r="A217" s="14" t="n">
        <v>207</v>
      </c>
      <c r="B217" s="17" t="inlineStr">
        <is>
          <t>Полюс Сухой Лог</t>
        </is>
      </c>
      <c r="C217" s="14" t="inlineStr">
        <is>
          <t>NTE240</t>
        </is>
      </c>
      <c r="D217" s="14" t="inlineStr">
        <is>
          <t>NTE</t>
        </is>
      </c>
      <c r="E217" s="14" t="inlineStr"/>
      <c r="F217" s="14" t="inlineStr"/>
      <c r="G217" s="14" t="inlineStr">
        <is>
          <t>план</t>
        </is>
      </c>
      <c r="H217" s="26" t="n">
        <v>46914</v>
      </c>
      <c r="I217" s="15">
        <f>IF(D217="TR100",$D$8,IF(H217&lt;$D$5,$D$6,$D$7))</f>
        <v>24</v>
      </c>
      <c r="J217" s="26">
        <f>EDATE(H217,I217)</f>
        <v>47644</v>
      </c>
    </row>
    <row r="218">
      <c r="A218" s="14" t="n">
        <v>208</v>
      </c>
      <c r="B218" s="17" t="inlineStr">
        <is>
          <t>Полюс Сухой Лог</t>
        </is>
      </c>
      <c r="C218" s="14" t="inlineStr">
        <is>
          <t>NTE240</t>
        </is>
      </c>
      <c r="D218" s="14" t="inlineStr">
        <is>
          <t>NTE</t>
        </is>
      </c>
      <c r="E218" s="14" t="inlineStr"/>
      <c r="F218" s="14" t="inlineStr">
        <is>
          <t>1664</t>
        </is>
      </c>
      <c r="G218" s="14" t="inlineStr">
        <is>
          <t>план</t>
        </is>
      </c>
      <c r="H218" s="26" t="n">
        <v>46924</v>
      </c>
      <c r="I218" s="15">
        <f>IF(D218="TR100",$D$8,IF(H218&lt;$D$5,$D$6,$D$7))</f>
        <v>24</v>
      </c>
      <c r="J218" s="26">
        <f>EDATE(H218,I218)</f>
        <v>47654</v>
      </c>
    </row>
    <row r="219">
      <c r="A219" s="14" t="n">
        <v>209</v>
      </c>
      <c r="B219" s="17" t="inlineStr">
        <is>
          <t>Полюс Сухой Лог</t>
        </is>
      </c>
      <c r="C219" s="14" t="inlineStr">
        <is>
          <t>NTE240</t>
        </is>
      </c>
      <c r="D219" s="14" t="inlineStr">
        <is>
          <t>NTE</t>
        </is>
      </c>
      <c r="E219" s="14" t="inlineStr"/>
      <c r="F219" s="14" t="inlineStr">
        <is>
          <t>1665</t>
        </is>
      </c>
      <c r="G219" s="14" t="inlineStr">
        <is>
          <t>план</t>
        </is>
      </c>
      <c r="H219" s="26" t="n">
        <v>46934</v>
      </c>
      <c r="I219" s="15">
        <f>IF(D219="TR100",$D$8,IF(H219&lt;$D$5,$D$6,$D$7))</f>
        <v>24</v>
      </c>
      <c r="J219" s="26">
        <f>EDATE(H219,I219)</f>
        <v>47664</v>
      </c>
    </row>
    <row r="220">
      <c r="A220" s="14" t="n">
        <v>210</v>
      </c>
      <c r="B220" s="17" t="inlineStr">
        <is>
          <t>Полюс Сухой Лог</t>
        </is>
      </c>
      <c r="C220" s="14" t="inlineStr">
        <is>
          <t>NTE240</t>
        </is>
      </c>
      <c r="D220" s="14" t="inlineStr">
        <is>
          <t>NTE</t>
        </is>
      </c>
      <c r="E220" s="14" t="inlineStr"/>
      <c r="F220" s="14" t="inlineStr">
        <is>
          <t>1666</t>
        </is>
      </c>
      <c r="G220" s="14" t="inlineStr">
        <is>
          <t>план</t>
        </is>
      </c>
      <c r="H220" s="26" t="n">
        <v>46935</v>
      </c>
      <c r="I220" s="15">
        <f>IF(D220="TR100",$D$8,IF(H220&lt;$D$5,$D$6,$D$7))</f>
        <v>24</v>
      </c>
      <c r="J220" s="26">
        <f>EDATE(H220,I220)</f>
        <v>47665</v>
      </c>
    </row>
    <row r="221">
      <c r="A221" s="14" t="n">
        <v>211</v>
      </c>
      <c r="B221" s="17" t="inlineStr">
        <is>
          <t>Полюс Сухой Лог</t>
        </is>
      </c>
      <c r="C221" s="14" t="inlineStr">
        <is>
          <t>NTE240</t>
        </is>
      </c>
      <c r="D221" s="14" t="inlineStr">
        <is>
          <t>NTE</t>
        </is>
      </c>
      <c r="E221" s="14" t="inlineStr"/>
      <c r="F221" s="14" t="inlineStr">
        <is>
          <t>1667</t>
        </is>
      </c>
      <c r="G221" s="14" t="inlineStr">
        <is>
          <t>план</t>
        </is>
      </c>
      <c r="H221" s="26" t="n">
        <v>46949</v>
      </c>
      <c r="I221" s="15">
        <f>IF(D221="TR100",$D$8,IF(H221&lt;$D$5,$D$6,$D$7))</f>
        <v>24</v>
      </c>
      <c r="J221" s="26">
        <f>EDATE(H221,I221)</f>
        <v>47679</v>
      </c>
    </row>
    <row r="222">
      <c r="A222" s="14" t="n">
        <v>212</v>
      </c>
      <c r="B222" s="17" t="inlineStr">
        <is>
          <t>Полюс Сухой Лог</t>
        </is>
      </c>
      <c r="C222" s="14" t="inlineStr">
        <is>
          <t>NTE240</t>
        </is>
      </c>
      <c r="D222" s="14" t="inlineStr">
        <is>
          <t>NTE</t>
        </is>
      </c>
      <c r="E222" s="14" t="inlineStr"/>
      <c r="F222" s="14" t="inlineStr">
        <is>
          <t>1668</t>
        </is>
      </c>
      <c r="G222" s="14" t="inlineStr">
        <is>
          <t>план</t>
        </is>
      </c>
      <c r="H222" s="26" t="n">
        <v>46964</v>
      </c>
      <c r="I222" s="15">
        <f>IF(D222="TR100",$D$8,IF(H222&lt;$D$5,$D$6,$D$7))</f>
        <v>24</v>
      </c>
      <c r="J222" s="26">
        <f>EDATE(H222,I222)</f>
        <v>47694</v>
      </c>
    </row>
    <row r="223">
      <c r="A223" s="14" t="n">
        <v>213</v>
      </c>
      <c r="B223" s="17" t="inlineStr">
        <is>
          <t>Полюс Сухой Лог</t>
        </is>
      </c>
      <c r="C223" s="14" t="inlineStr">
        <is>
          <t>NTE240</t>
        </is>
      </c>
      <c r="D223" s="14" t="inlineStr">
        <is>
          <t>NTE</t>
        </is>
      </c>
      <c r="E223" s="14" t="inlineStr"/>
      <c r="F223" s="14" t="inlineStr">
        <is>
          <t>1669</t>
        </is>
      </c>
      <c r="G223" s="14" t="inlineStr">
        <is>
          <t>план</t>
        </is>
      </c>
      <c r="H223" s="26" t="n">
        <v>46966</v>
      </c>
      <c r="I223" s="15">
        <f>IF(D223="TR100",$D$8,IF(H223&lt;$D$5,$D$6,$D$7))</f>
        <v>24</v>
      </c>
      <c r="J223" s="26">
        <f>EDATE(H223,I223)</f>
        <v>47696</v>
      </c>
    </row>
    <row r="224">
      <c r="A224" s="14" t="n">
        <v>214</v>
      </c>
      <c r="B224" s="17" t="inlineStr">
        <is>
          <t>Полюс Сухой Лог</t>
        </is>
      </c>
      <c r="C224" s="14" t="inlineStr">
        <is>
          <t>NTE240</t>
        </is>
      </c>
      <c r="D224" s="14" t="inlineStr">
        <is>
          <t>NTE</t>
        </is>
      </c>
      <c r="E224" s="14" t="inlineStr"/>
      <c r="F224" s="14" t="inlineStr">
        <is>
          <t>1670</t>
        </is>
      </c>
      <c r="G224" s="14" t="inlineStr">
        <is>
          <t>план</t>
        </is>
      </c>
      <c r="H224" s="26" t="n">
        <v>46997</v>
      </c>
      <c r="I224" s="15">
        <f>IF(D224="TR100",$D$8,IF(H224&lt;$D$5,$D$6,$D$7))</f>
        <v>24</v>
      </c>
      <c r="J224" s="26">
        <f>EDATE(H224,I224)</f>
        <v>47727</v>
      </c>
    </row>
    <row r="225">
      <c r="A225" s="14" t="n">
        <v>215</v>
      </c>
      <c r="B225" s="17" t="inlineStr">
        <is>
          <t>Полюс Сухой Лог</t>
        </is>
      </c>
      <c r="C225" s="14" t="inlineStr">
        <is>
          <t>NTE240</t>
        </is>
      </c>
      <c r="D225" s="14" t="inlineStr">
        <is>
          <t>NTE</t>
        </is>
      </c>
      <c r="E225" s="14" t="inlineStr"/>
      <c r="F225" s="14" t="inlineStr">
        <is>
          <t>1671</t>
        </is>
      </c>
      <c r="G225" s="14" t="inlineStr">
        <is>
          <t>план</t>
        </is>
      </c>
      <c r="H225" s="26" t="n">
        <v>47027</v>
      </c>
      <c r="I225" s="15">
        <f>IF(D225="TR100",$D$8,IF(H225&lt;$D$5,$D$6,$D$7))</f>
        <v>24</v>
      </c>
      <c r="J225" s="26">
        <f>EDATE(H225,I225)</f>
        <v>47757</v>
      </c>
    </row>
    <row r="226">
      <c r="A226" s="14" t="n">
        <v>216</v>
      </c>
      <c r="B226" s="17" t="inlineStr">
        <is>
          <t>Полюс Сухой Лог</t>
        </is>
      </c>
      <c r="C226" s="14" t="inlineStr">
        <is>
          <t>NTE240</t>
        </is>
      </c>
      <c r="D226" s="14" t="inlineStr">
        <is>
          <t>NTE</t>
        </is>
      </c>
      <c r="E226" s="14" t="inlineStr"/>
      <c r="F226" s="14" t="inlineStr">
        <is>
          <t>1672</t>
        </is>
      </c>
      <c r="G226" s="14" t="inlineStr">
        <is>
          <t>план</t>
        </is>
      </c>
      <c r="H226" s="26" t="n">
        <v>47036</v>
      </c>
      <c r="I226" s="15">
        <f>IF(D226="TR100",$D$8,IF(H226&lt;$D$5,$D$6,$D$7))</f>
        <v>24</v>
      </c>
      <c r="J226" s="26">
        <f>EDATE(H226,I226)</f>
        <v>47766</v>
      </c>
    </row>
    <row r="227">
      <c r="A227" s="14" t="n">
        <v>217</v>
      </c>
      <c r="B227" s="17" t="inlineStr">
        <is>
          <t>Полюс Сухой Лог</t>
        </is>
      </c>
      <c r="C227" s="14" t="inlineStr">
        <is>
          <t>NTE240</t>
        </is>
      </c>
      <c r="D227" s="14" t="inlineStr">
        <is>
          <t>NTE</t>
        </is>
      </c>
      <c r="E227" s="14" t="inlineStr"/>
      <c r="F227" s="14" t="inlineStr">
        <is>
          <t>1673</t>
        </is>
      </c>
      <c r="G227" s="14" t="inlineStr">
        <is>
          <t>план</t>
        </is>
      </c>
      <c r="H227" s="26" t="n">
        <v>47046</v>
      </c>
      <c r="I227" s="15">
        <f>IF(D227="TR100",$D$8,IF(H227&lt;$D$5,$D$6,$D$7))</f>
        <v>24</v>
      </c>
      <c r="J227" s="26">
        <f>EDATE(H227,I227)</f>
        <v>47776</v>
      </c>
    </row>
    <row r="228">
      <c r="A228" s="14" t="n">
        <v>218</v>
      </c>
      <c r="B228" s="17" t="inlineStr">
        <is>
          <t>Полюс Сухой Лог</t>
        </is>
      </c>
      <c r="C228" s="14" t="inlineStr">
        <is>
          <t>NTE240</t>
        </is>
      </c>
      <c r="D228" s="14" t="inlineStr">
        <is>
          <t>NTE</t>
        </is>
      </c>
      <c r="E228" s="14" t="inlineStr"/>
      <c r="F228" s="14" t="inlineStr">
        <is>
          <t>1674</t>
        </is>
      </c>
      <c r="G228" s="14" t="inlineStr">
        <is>
          <t>план</t>
        </is>
      </c>
      <c r="H228" s="26" t="n">
        <v>47056</v>
      </c>
      <c r="I228" s="15">
        <f>IF(D228="TR100",$D$8,IF(H228&lt;$D$5,$D$6,$D$7))</f>
        <v>24</v>
      </c>
      <c r="J228" s="26">
        <f>EDATE(H228,I228)</f>
        <v>47786</v>
      </c>
    </row>
    <row r="229">
      <c r="A229" s="14" t="n">
        <v>219</v>
      </c>
      <c r="B229" s="17" t="inlineStr">
        <is>
          <t>Полюс Сухой Лог</t>
        </is>
      </c>
      <c r="C229" s="14" t="inlineStr">
        <is>
          <t>NTE240</t>
        </is>
      </c>
      <c r="D229" s="14" t="inlineStr">
        <is>
          <t>NTE</t>
        </is>
      </c>
      <c r="E229" s="14" t="inlineStr"/>
      <c r="F229" s="14" t="inlineStr">
        <is>
          <t>1675</t>
        </is>
      </c>
      <c r="G229" s="14" t="inlineStr">
        <is>
          <t>план</t>
        </is>
      </c>
      <c r="H229" s="26" t="n">
        <v>47058</v>
      </c>
      <c r="I229" s="15">
        <f>IF(D229="TR100",$D$8,IF(H229&lt;$D$5,$D$6,$D$7))</f>
        <v>24</v>
      </c>
      <c r="J229" s="26">
        <f>EDATE(H229,I229)</f>
        <v>47788</v>
      </c>
    </row>
    <row r="230">
      <c r="A230" s="14" t="n">
        <v>220</v>
      </c>
      <c r="B230" s="17" t="inlineStr">
        <is>
          <t>Полюс Сухой Лог</t>
        </is>
      </c>
      <c r="C230" s="14" t="inlineStr">
        <is>
          <t>NTE240</t>
        </is>
      </c>
      <c r="D230" s="14" t="inlineStr">
        <is>
          <t>NTE</t>
        </is>
      </c>
      <c r="E230" s="14" t="inlineStr"/>
      <c r="F230" s="14" t="inlineStr">
        <is>
          <t>1676</t>
        </is>
      </c>
      <c r="G230" s="14" t="inlineStr">
        <is>
          <t>план</t>
        </is>
      </c>
      <c r="H230" s="26" t="n">
        <v>47067</v>
      </c>
      <c r="I230" s="15">
        <f>IF(D230="TR100",$D$8,IF(H230&lt;$D$5,$D$6,$D$7))</f>
        <v>24</v>
      </c>
      <c r="J230" s="26">
        <f>EDATE(H230,I230)</f>
        <v>47797</v>
      </c>
    </row>
    <row r="231">
      <c r="A231" s="14" t="n">
        <v>221</v>
      </c>
      <c r="B231" s="17" t="inlineStr">
        <is>
          <t>Полюс Сухой Лог</t>
        </is>
      </c>
      <c r="C231" s="14" t="inlineStr">
        <is>
          <t>NTE240</t>
        </is>
      </c>
      <c r="D231" s="14" t="inlineStr">
        <is>
          <t>NTE</t>
        </is>
      </c>
      <c r="E231" s="14" t="inlineStr"/>
      <c r="F231" s="14" t="inlineStr">
        <is>
          <t>1677</t>
        </is>
      </c>
      <c r="G231" s="14" t="inlineStr">
        <is>
          <t>план</t>
        </is>
      </c>
      <c r="H231" s="26" t="n">
        <v>47077</v>
      </c>
      <c r="I231" s="15">
        <f>IF(D231="TR100",$D$8,IF(H231&lt;$D$5,$D$6,$D$7))</f>
        <v>24</v>
      </c>
      <c r="J231" s="26">
        <f>EDATE(H231,I231)</f>
        <v>47807</v>
      </c>
    </row>
    <row r="232">
      <c r="A232" s="14" t="n">
        <v>222</v>
      </c>
      <c r="B232" s="17" t="inlineStr">
        <is>
          <t>Полюс Сухой Лог</t>
        </is>
      </c>
      <c r="C232" s="14" t="inlineStr">
        <is>
          <t>NTE240</t>
        </is>
      </c>
      <c r="D232" s="14" t="inlineStr">
        <is>
          <t>NTE</t>
        </is>
      </c>
      <c r="E232" s="14" t="inlineStr"/>
      <c r="F232" s="14" t="inlineStr">
        <is>
          <t>1678</t>
        </is>
      </c>
      <c r="G232" s="14" t="inlineStr">
        <is>
          <t>план</t>
        </is>
      </c>
      <c r="H232" s="26" t="n">
        <v>47087</v>
      </c>
      <c r="I232" s="15">
        <f>IF(D232="TR100",$D$8,IF(H232&lt;$D$5,$D$6,$D$7))</f>
        <v>24</v>
      </c>
      <c r="J232" s="26">
        <f>EDATE(H232,I232)</f>
        <v>47817</v>
      </c>
    </row>
    <row r="233">
      <c r="A233" s="14" t="n">
        <v>223</v>
      </c>
      <c r="B233" s="17" t="inlineStr">
        <is>
          <t>Полюс Сухой Лог</t>
        </is>
      </c>
      <c r="C233" s="14" t="inlineStr">
        <is>
          <t>NTE240</t>
        </is>
      </c>
      <c r="D233" s="14" t="inlineStr">
        <is>
          <t>NTE</t>
        </is>
      </c>
      <c r="E233" s="14" t="inlineStr"/>
      <c r="F233" s="14" t="inlineStr">
        <is>
          <t>1679</t>
        </is>
      </c>
      <c r="G233" s="14" t="inlineStr">
        <is>
          <t>план</t>
        </is>
      </c>
      <c r="H233" s="26" t="n">
        <v>47088</v>
      </c>
      <c r="I233" s="15">
        <f>IF(D233="TR100",$D$8,IF(H233&lt;$D$5,$D$6,$D$7))</f>
        <v>24</v>
      </c>
      <c r="J233" s="26">
        <f>EDATE(H233,I233)</f>
        <v>47818</v>
      </c>
    </row>
    <row r="234">
      <c r="A234" s="14" t="n">
        <v>224</v>
      </c>
      <c r="B234" s="17" t="inlineStr">
        <is>
          <t>Полюс Сухой Лог</t>
        </is>
      </c>
      <c r="C234" s="14" t="inlineStr">
        <is>
          <t>NTE240</t>
        </is>
      </c>
      <c r="D234" s="14" t="inlineStr">
        <is>
          <t>NTE</t>
        </is>
      </c>
      <c r="E234" s="14" t="inlineStr"/>
      <c r="F234" s="14" t="inlineStr">
        <is>
          <t>1680</t>
        </is>
      </c>
      <c r="G234" s="14" t="inlineStr">
        <is>
          <t>план</t>
        </is>
      </c>
      <c r="H234" s="26" t="n">
        <v>47097</v>
      </c>
      <c r="I234" s="15">
        <f>IF(D234="TR100",$D$8,IF(H234&lt;$D$5,$D$6,$D$7))</f>
        <v>24</v>
      </c>
      <c r="J234" s="26">
        <f>EDATE(H234,I234)</f>
        <v>47827</v>
      </c>
    </row>
    <row r="235">
      <c r="A235" s="14" t="n">
        <v>225</v>
      </c>
      <c r="B235" s="17" t="inlineStr">
        <is>
          <t>Полюс Сухой Лог</t>
        </is>
      </c>
      <c r="C235" s="14" t="inlineStr">
        <is>
          <t>NTE240</t>
        </is>
      </c>
      <c r="D235" s="14" t="inlineStr">
        <is>
          <t>NTE</t>
        </is>
      </c>
      <c r="E235" s="14" t="inlineStr"/>
      <c r="F235" s="14" t="inlineStr">
        <is>
          <t>1681</t>
        </is>
      </c>
      <c r="G235" s="14" t="inlineStr">
        <is>
          <t>план</t>
        </is>
      </c>
      <c r="H235" s="26" t="n">
        <v>47107</v>
      </c>
      <c r="I235" s="15">
        <f>IF(D235="TR100",$D$8,IF(H235&lt;$D$5,$D$6,$D$7))</f>
        <v>24</v>
      </c>
      <c r="J235" s="26">
        <f>EDATE(H235,I235)</f>
        <v>47837</v>
      </c>
    </row>
    <row r="236">
      <c r="A236" s="14" t="n">
        <v>226</v>
      </c>
      <c r="B236" s="17" t="inlineStr">
        <is>
          <t>Полюс Сухой Лог</t>
        </is>
      </c>
      <c r="C236" s="14" t="inlineStr">
        <is>
          <t>NTE240</t>
        </is>
      </c>
      <c r="D236" s="14" t="inlineStr">
        <is>
          <t>NTE</t>
        </is>
      </c>
      <c r="E236" s="14" t="inlineStr"/>
      <c r="F236" s="14" t="inlineStr">
        <is>
          <t>1682</t>
        </is>
      </c>
      <c r="G236" s="14" t="inlineStr">
        <is>
          <t>план</t>
        </is>
      </c>
      <c r="H236" s="26" t="n">
        <v>47117</v>
      </c>
      <c r="I236" s="15">
        <f>IF(D236="TR100",$D$8,IF(H236&lt;$D$5,$D$6,$D$7))</f>
        <v>24</v>
      </c>
      <c r="J236" s="26">
        <f>EDATE(H236,I236)</f>
        <v>47847</v>
      </c>
    </row>
    <row r="237">
      <c r="A237" s="14" t="n">
        <v>227</v>
      </c>
      <c r="B237" s="17" t="inlineStr">
        <is>
          <t>Полюс Сухой Лог</t>
        </is>
      </c>
      <c r="C237" s="14" t="inlineStr">
        <is>
          <t>NTE240</t>
        </is>
      </c>
      <c r="D237" s="14" t="inlineStr">
        <is>
          <t>NTE</t>
        </is>
      </c>
      <c r="E237" s="14" t="inlineStr"/>
      <c r="F237" s="14" t="inlineStr">
        <is>
          <t>1683</t>
        </is>
      </c>
      <c r="G237" s="14" t="inlineStr">
        <is>
          <t>план</t>
        </is>
      </c>
      <c r="H237" s="26" t="n">
        <v>47119</v>
      </c>
      <c r="I237" s="15">
        <f>IF(D237="TR100",$D$8,IF(H237&lt;$D$5,$D$6,$D$7))</f>
        <v>24</v>
      </c>
      <c r="J237" s="26">
        <f>EDATE(H237,I237)</f>
        <v>47849</v>
      </c>
    </row>
    <row r="238">
      <c r="A238" s="14" t="n">
        <v>228</v>
      </c>
      <c r="B238" s="17" t="inlineStr">
        <is>
          <t>Полюс Сухой Лог</t>
        </is>
      </c>
      <c r="C238" s="14" t="inlineStr">
        <is>
          <t>NTE240</t>
        </is>
      </c>
      <c r="D238" s="14" t="inlineStr">
        <is>
          <t>NTE</t>
        </is>
      </c>
      <c r="E238" s="14" t="inlineStr"/>
      <c r="F238" s="14" t="inlineStr">
        <is>
          <t>1684</t>
        </is>
      </c>
      <c r="G238" s="14" t="inlineStr">
        <is>
          <t>план</t>
        </is>
      </c>
      <c r="H238" s="26" t="n">
        <v>47133</v>
      </c>
      <c r="I238" s="15">
        <f>IF(D238="TR100",$D$8,IF(H238&lt;$D$5,$D$6,$D$7))</f>
        <v>24</v>
      </c>
      <c r="J238" s="26">
        <f>EDATE(H238,I238)</f>
        <v>47863</v>
      </c>
    </row>
    <row r="239">
      <c r="A239" s="14" t="n">
        <v>229</v>
      </c>
      <c r="B239" s="17" t="inlineStr">
        <is>
          <t>Полюс Сухой Лог</t>
        </is>
      </c>
      <c r="C239" s="14" t="inlineStr">
        <is>
          <t>NTE240</t>
        </is>
      </c>
      <c r="D239" s="14" t="inlineStr">
        <is>
          <t>NTE</t>
        </is>
      </c>
      <c r="E239" s="14" t="inlineStr"/>
      <c r="F239" s="14" t="inlineStr">
        <is>
          <t>1685</t>
        </is>
      </c>
      <c r="G239" s="14" t="inlineStr">
        <is>
          <t>план</t>
        </is>
      </c>
      <c r="H239" s="26" t="n">
        <v>47148</v>
      </c>
      <c r="I239" s="15">
        <f>IF(D239="TR100",$D$8,IF(H239&lt;$D$5,$D$6,$D$7))</f>
        <v>24</v>
      </c>
      <c r="J239" s="26">
        <f>EDATE(H239,I239)</f>
        <v>47878</v>
      </c>
    </row>
    <row r="240">
      <c r="A240" s="14" t="n">
        <v>230</v>
      </c>
      <c r="B240" s="17" t="inlineStr">
        <is>
          <t>Полюс Сухой Лог</t>
        </is>
      </c>
      <c r="C240" s="14" t="inlineStr">
        <is>
          <t>TR100</t>
        </is>
      </c>
      <c r="D240" s="14" t="inlineStr">
        <is>
          <t>TR100</t>
        </is>
      </c>
      <c r="E240" s="14" t="inlineStr">
        <is>
          <t>NHLT3AAALPB2A0324</t>
        </is>
      </c>
      <c r="F240" s="14" t="inlineStr">
        <is>
          <t>1644</t>
        </is>
      </c>
      <c r="G240" s="14" t="inlineStr">
        <is>
          <t>факт</t>
        </is>
      </c>
      <c r="H240" s="26" t="n">
        <v>45425</v>
      </c>
      <c r="I240" s="15">
        <f>IF(D240="TR100",$D$8,IF(H240&lt;$D$5,$D$6,$D$7))</f>
        <v>24</v>
      </c>
      <c r="J240" s="26">
        <f>EDATE(H240,I240)</f>
        <v>46155</v>
      </c>
    </row>
    <row r="241">
      <c r="A241" s="14" t="n">
        <v>231</v>
      </c>
      <c r="B241" s="17" t="inlineStr">
        <is>
          <t>Полюс Сухой Лог</t>
        </is>
      </c>
      <c r="C241" s="14" t="inlineStr">
        <is>
          <t>TR100</t>
        </is>
      </c>
      <c r="D241" s="14" t="inlineStr">
        <is>
          <t>TR100</t>
        </is>
      </c>
      <c r="E241" s="14" t="inlineStr">
        <is>
          <t>NHLT3AAAEPB2A0326</t>
        </is>
      </c>
      <c r="F241" s="14" t="inlineStr">
        <is>
          <t>1645</t>
        </is>
      </c>
      <c r="G241" s="14" t="inlineStr">
        <is>
          <t>факт</t>
        </is>
      </c>
      <c r="H241" s="26" t="n">
        <v>45425</v>
      </c>
      <c r="I241" s="15">
        <f>IF(D241="TR100",$D$8,IF(H241&lt;$D$5,$D$6,$D$7))</f>
        <v>24</v>
      </c>
      <c r="J241" s="26">
        <f>EDATE(H241,I241)</f>
        <v>46155</v>
      </c>
    </row>
    <row r="242">
      <c r="A242" s="14" t="n">
        <v>232</v>
      </c>
      <c r="B242" s="17" t="inlineStr">
        <is>
          <t>Полюс Сухой Лог</t>
        </is>
      </c>
      <c r="C242" s="14" t="inlineStr">
        <is>
          <t>TR100</t>
        </is>
      </c>
      <c r="D242" s="14" t="inlineStr">
        <is>
          <t>TR100</t>
        </is>
      </c>
      <c r="E242" s="14" t="inlineStr">
        <is>
          <t>NHLT3AAACPB2A0327</t>
        </is>
      </c>
      <c r="F242" s="14" t="inlineStr">
        <is>
          <t>1646</t>
        </is>
      </c>
      <c r="G242" s="14" t="inlineStr">
        <is>
          <t>факт</t>
        </is>
      </c>
      <c r="H242" s="26" t="n">
        <v>45476</v>
      </c>
      <c r="I242" s="15">
        <f>IF(D242="TR100",$D$8,IF(H242&lt;$D$5,$D$6,$D$7))</f>
        <v>24</v>
      </c>
      <c r="J242" s="26">
        <f>EDATE(H242,I242)</f>
        <v>46206</v>
      </c>
    </row>
    <row r="243">
      <c r="A243" s="14" t="n">
        <v>233</v>
      </c>
      <c r="B243" s="17" t="inlineStr">
        <is>
          <t>Полюс Сухой Лог</t>
        </is>
      </c>
      <c r="C243" s="14" t="inlineStr">
        <is>
          <t>TR100</t>
        </is>
      </c>
      <c r="D243" s="14" t="inlineStr">
        <is>
          <t>TR100</t>
        </is>
      </c>
      <c r="E243" s="14" t="inlineStr">
        <is>
          <t>NHLT3AAACPB2A0321</t>
        </is>
      </c>
      <c r="F243" s="14" t="inlineStr">
        <is>
          <t>1647</t>
        </is>
      </c>
      <c r="G243" s="14" t="inlineStr">
        <is>
          <t>факт</t>
        </is>
      </c>
      <c r="H243" s="26" t="n">
        <v>45476</v>
      </c>
      <c r="I243" s="15">
        <f>IF(D243="TR100",$D$8,IF(H243&lt;$D$5,$D$6,$D$7))</f>
        <v>24</v>
      </c>
      <c r="J243" s="26">
        <f>EDATE(H243,I243)</f>
        <v>46206</v>
      </c>
    </row>
    <row r="244">
      <c r="A244" s="14" t="n">
        <v>234</v>
      </c>
      <c r="B244" s="17" t="inlineStr">
        <is>
          <t>Полюс Сухой Лог</t>
        </is>
      </c>
      <c r="C244" s="14" t="inlineStr">
        <is>
          <t>TR100</t>
        </is>
      </c>
      <c r="D244" s="14" t="inlineStr">
        <is>
          <t>TR100</t>
        </is>
      </c>
      <c r="E244" s="14" t="inlineStr">
        <is>
          <t>NHLT3AAACPB2A0323</t>
        </is>
      </c>
      <c r="F244" s="14" t="inlineStr">
        <is>
          <t>1648</t>
        </is>
      </c>
      <c r="G244" s="14" t="inlineStr">
        <is>
          <t>факт</t>
        </is>
      </c>
      <c r="H244" s="26" t="n">
        <v>45483</v>
      </c>
      <c r="I244" s="15">
        <f>IF(D244="TR100",$D$8,IF(H244&lt;$D$5,$D$6,$D$7))</f>
        <v>24</v>
      </c>
      <c r="J244" s="26">
        <f>EDATE(H244,I244)</f>
        <v>46213</v>
      </c>
    </row>
    <row r="245">
      <c r="A245" s="14" t="n">
        <v>235</v>
      </c>
      <c r="B245" s="17" t="inlineStr">
        <is>
          <t>Полюс Сухой Лог</t>
        </is>
      </c>
      <c r="C245" s="14" t="inlineStr">
        <is>
          <t>TR100</t>
        </is>
      </c>
      <c r="D245" s="14" t="inlineStr">
        <is>
          <t>TR100</t>
        </is>
      </c>
      <c r="E245" s="14" t="inlineStr">
        <is>
          <t>NHLT3AAACPB2A0329</t>
        </is>
      </c>
      <c r="F245" s="14" t="inlineStr">
        <is>
          <t>1649</t>
        </is>
      </c>
      <c r="G245" s="14" t="inlineStr">
        <is>
          <t>факт</t>
        </is>
      </c>
      <c r="H245" s="26" t="n">
        <v>45483</v>
      </c>
      <c r="I245" s="15">
        <f>IF(D245="TR100",$D$8,IF(H245&lt;$D$5,$D$6,$D$7))</f>
        <v>24</v>
      </c>
      <c r="J245" s="26">
        <f>EDATE(H245,I245)</f>
        <v>46213</v>
      </c>
    </row>
    <row r="246">
      <c r="A246" s="14" t="n">
        <v>236</v>
      </c>
      <c r="B246" s="17" t="inlineStr">
        <is>
          <t>Полюс Сухой Лог</t>
        </is>
      </c>
      <c r="C246" s="14" t="inlineStr">
        <is>
          <t>TR100</t>
        </is>
      </c>
      <c r="D246" s="14" t="inlineStr">
        <is>
          <t>TR100</t>
        </is>
      </c>
      <c r="E246" s="14" t="inlineStr">
        <is>
          <t>NHLT3AAACPB2A0322</t>
        </is>
      </c>
      <c r="F246" s="14" t="inlineStr">
        <is>
          <t>1650</t>
        </is>
      </c>
      <c r="G246" s="14" t="inlineStr">
        <is>
          <t>факт</t>
        </is>
      </c>
      <c r="H246" s="26" t="n">
        <v>45483</v>
      </c>
      <c r="I246" s="15">
        <f>IF(D246="TR100",$D$8,IF(H246&lt;$D$5,$D$6,$D$7))</f>
        <v>24</v>
      </c>
      <c r="J246" s="26">
        <f>EDATE(H246,I246)</f>
        <v>46213</v>
      </c>
    </row>
    <row r="247">
      <c r="A247" s="14" t="n">
        <v>237</v>
      </c>
      <c r="B247" s="17" t="inlineStr">
        <is>
          <t>Полюс Сухой Лог</t>
        </is>
      </c>
      <c r="C247" s="14" t="inlineStr">
        <is>
          <t>TR100</t>
        </is>
      </c>
      <c r="D247" s="14" t="inlineStr">
        <is>
          <t>TR100</t>
        </is>
      </c>
      <c r="E247" s="14" t="inlineStr">
        <is>
          <t>NHLT3AAACPB2A0325</t>
        </is>
      </c>
      <c r="F247" s="14" t="inlineStr">
        <is>
          <t>1651</t>
        </is>
      </c>
      <c r="G247" s="14" t="inlineStr">
        <is>
          <t>факт</t>
        </is>
      </c>
      <c r="H247" s="26" t="n">
        <v>45483</v>
      </c>
      <c r="I247" s="15">
        <f>IF(D247="TR100",$D$8,IF(H247&lt;$D$5,$D$6,$D$7))</f>
        <v>24</v>
      </c>
      <c r="J247" s="26">
        <f>EDATE(H247,I247)</f>
        <v>46213</v>
      </c>
    </row>
    <row r="248">
      <c r="A248" s="14" t="n">
        <v>238</v>
      </c>
      <c r="B248" s="17" t="inlineStr">
        <is>
          <t>Полюс Сухой Лог</t>
        </is>
      </c>
      <c r="C248" s="14" t="inlineStr">
        <is>
          <t>TR100</t>
        </is>
      </c>
      <c r="D248" s="14" t="inlineStr">
        <is>
          <t>TR100</t>
        </is>
      </c>
      <c r="E248" s="14" t="inlineStr">
        <is>
          <t>NHLT3AAACPB2A0328</t>
        </is>
      </c>
      <c r="F248" s="14" t="inlineStr">
        <is>
          <t>1652</t>
        </is>
      </c>
      <c r="G248" s="14" t="inlineStr">
        <is>
          <t>факт</t>
        </is>
      </c>
      <c r="H248" s="26" t="n">
        <v>45483</v>
      </c>
      <c r="I248" s="15">
        <f>IF(D248="TR100",$D$8,IF(H248&lt;$D$5,$D$6,$D$7))</f>
        <v>24</v>
      </c>
      <c r="J248" s="26">
        <f>EDATE(H248,I248)</f>
        <v>46213</v>
      </c>
    </row>
    <row r="249">
      <c r="A249" s="14" t="n">
        <v>239</v>
      </c>
      <c r="B249" s="18" t="inlineStr">
        <is>
          <t>Полюс Магадан</t>
        </is>
      </c>
      <c r="C249" s="14" t="inlineStr">
        <is>
          <t>NTE200</t>
        </is>
      </c>
      <c r="D249" s="14" t="inlineStr">
        <is>
          <t>NTE</t>
        </is>
      </c>
      <c r="E249" s="14" t="inlineStr">
        <is>
          <t>NHLT0ABAVPB100085</t>
        </is>
      </c>
      <c r="F249" s="14" t="inlineStr">
        <is>
          <t>47</t>
        </is>
      </c>
      <c r="G249" s="14" t="inlineStr">
        <is>
          <t>факт</t>
        </is>
      </c>
      <c r="H249" s="26" t="n">
        <v>45326</v>
      </c>
      <c r="I249" s="15">
        <f>IF(D249="TR100",$D$8,IF(H249&lt;$D$5,$D$6,$D$7))</f>
        <v>12</v>
      </c>
      <c r="J249" s="26">
        <f>EDATE(H249,I249)</f>
        <v>45692</v>
      </c>
    </row>
    <row r="250">
      <c r="A250" s="14" t="n">
        <v>240</v>
      </c>
      <c r="B250" s="18" t="inlineStr">
        <is>
          <t>Полюс Магадан</t>
        </is>
      </c>
      <c r="C250" s="14" t="inlineStr">
        <is>
          <t>NTE200</t>
        </is>
      </c>
      <c r="D250" s="14" t="inlineStr">
        <is>
          <t>NTE</t>
        </is>
      </c>
      <c r="E250" s="14" t="inlineStr">
        <is>
          <t>NHLT0ABATPB100080</t>
        </is>
      </c>
      <c r="F250" s="14" t="inlineStr">
        <is>
          <t>45</t>
        </is>
      </c>
      <c r="G250" s="14" t="inlineStr">
        <is>
          <t>факт</t>
        </is>
      </c>
      <c r="H250" s="26" t="n">
        <v>45327</v>
      </c>
      <c r="I250" s="15">
        <f>IF(D250="TR100",$D$8,IF(H250&lt;$D$5,$D$6,$D$7))</f>
        <v>12</v>
      </c>
      <c r="J250" s="26">
        <f>EDATE(H250,I250)</f>
        <v>45693</v>
      </c>
    </row>
    <row r="251">
      <c r="A251" s="14" t="n">
        <v>241</v>
      </c>
      <c r="B251" s="18" t="inlineStr">
        <is>
          <t>Полюс Магадан</t>
        </is>
      </c>
      <c r="C251" s="14" t="inlineStr">
        <is>
          <t>NTE200</t>
        </is>
      </c>
      <c r="D251" s="14" t="inlineStr">
        <is>
          <t>NTE</t>
        </is>
      </c>
      <c r="E251" s="14" t="inlineStr">
        <is>
          <t>NHLT0ABAAPB100086</t>
        </is>
      </c>
      <c r="F251" s="14" t="inlineStr">
        <is>
          <t>48</t>
        </is>
      </c>
      <c r="G251" s="14" t="inlineStr">
        <is>
          <t>факт</t>
        </is>
      </c>
      <c r="H251" s="26" t="n">
        <v>45329</v>
      </c>
      <c r="I251" s="15">
        <f>IF(D251="TR100",$D$8,IF(H251&lt;$D$5,$D$6,$D$7))</f>
        <v>12</v>
      </c>
      <c r="J251" s="26">
        <f>EDATE(H251,I251)</f>
        <v>45695</v>
      </c>
    </row>
    <row r="252">
      <c r="A252" s="14" t="n">
        <v>242</v>
      </c>
      <c r="B252" s="18" t="inlineStr">
        <is>
          <t>Полюс Магадан</t>
        </is>
      </c>
      <c r="C252" s="14" t="inlineStr">
        <is>
          <t>NTE200</t>
        </is>
      </c>
      <c r="D252" s="14" t="inlineStr">
        <is>
          <t>NTE</t>
        </is>
      </c>
      <c r="E252" s="14" t="inlineStr">
        <is>
          <t>NHLT0ABAPPB100078</t>
        </is>
      </c>
      <c r="F252" s="14" t="inlineStr">
        <is>
          <t>43</t>
        </is>
      </c>
      <c r="G252" s="14" t="inlineStr">
        <is>
          <t>факт</t>
        </is>
      </c>
      <c r="H252" s="26" t="n">
        <v>45344</v>
      </c>
      <c r="I252" s="15">
        <f>IF(D252="TR100",$D$8,IF(H252&lt;$D$5,$D$6,$D$7))</f>
        <v>12</v>
      </c>
      <c r="J252" s="26">
        <f>EDATE(H252,I252)</f>
        <v>45710</v>
      </c>
    </row>
    <row r="253">
      <c r="A253" s="14" t="n">
        <v>243</v>
      </c>
      <c r="B253" s="18" t="inlineStr">
        <is>
          <t>Полюс Магадан</t>
        </is>
      </c>
      <c r="C253" s="14" t="inlineStr">
        <is>
          <t>NTE200</t>
        </is>
      </c>
      <c r="D253" s="14" t="inlineStr">
        <is>
          <t>NTE</t>
        </is>
      </c>
      <c r="E253" s="14" t="inlineStr">
        <is>
          <t>NHLT0ABACPB100084</t>
        </is>
      </c>
      <c r="F253" s="14" t="inlineStr">
        <is>
          <t>46</t>
        </is>
      </c>
      <c r="G253" s="14" t="inlineStr">
        <is>
          <t>факт</t>
        </is>
      </c>
      <c r="H253" s="26" t="n">
        <v>45345</v>
      </c>
      <c r="I253" s="15">
        <f>IF(D253="TR100",$D$8,IF(H253&lt;$D$5,$D$6,$D$7))</f>
        <v>12</v>
      </c>
      <c r="J253" s="26">
        <f>EDATE(H253,I253)</f>
        <v>45711</v>
      </c>
    </row>
    <row r="254">
      <c r="A254" s="14" t="n">
        <v>244</v>
      </c>
      <c r="B254" s="18" t="inlineStr">
        <is>
          <t>Полюс Магадан</t>
        </is>
      </c>
      <c r="C254" s="14" t="inlineStr">
        <is>
          <t>NTE200</t>
        </is>
      </c>
      <c r="D254" s="14" t="inlineStr">
        <is>
          <t>NTE</t>
        </is>
      </c>
      <c r="E254" s="14" t="inlineStr">
        <is>
          <t>NHLT0ABAKPB100079</t>
        </is>
      </c>
      <c r="F254" s="14" t="inlineStr">
        <is>
          <t>44</t>
        </is>
      </c>
      <c r="G254" s="14" t="inlineStr">
        <is>
          <t>факт</t>
        </is>
      </c>
      <c r="H254" s="26" t="n">
        <v>45349</v>
      </c>
      <c r="I254" s="15">
        <f>IF(D254="TR100",$D$8,IF(H254&lt;$D$5,$D$6,$D$7))</f>
        <v>12</v>
      </c>
      <c r="J254" s="26">
        <f>EDATE(H254,I254)</f>
        <v>45715</v>
      </c>
    </row>
    <row r="255">
      <c r="A255" s="14" t="n">
        <v>245</v>
      </c>
      <c r="B255" s="18" t="inlineStr">
        <is>
          <t>Полюс Магадан</t>
        </is>
      </c>
      <c r="C255" s="14" t="inlineStr">
        <is>
          <t>NTE200</t>
        </is>
      </c>
      <c r="D255" s="14" t="inlineStr">
        <is>
          <t>NTE</t>
        </is>
      </c>
      <c r="E255" s="14" t="inlineStr">
        <is>
          <t>NHLT0ABAPPB100081</t>
        </is>
      </c>
      <c r="F255" s="14" t="inlineStr">
        <is>
          <t>49</t>
        </is>
      </c>
      <c r="G255" s="14" t="inlineStr">
        <is>
          <t>факт</t>
        </is>
      </c>
      <c r="H255" s="26" t="n">
        <v>45355</v>
      </c>
      <c r="I255" s="15">
        <f>IF(D255="TR100",$D$8,IF(H255&lt;$D$5,$D$6,$D$7))</f>
        <v>12</v>
      </c>
      <c r="J255" s="26">
        <f>EDATE(H255,I255)</f>
        <v>45720</v>
      </c>
    </row>
    <row r="256">
      <c r="A256" s="14" t="n">
        <v>246</v>
      </c>
      <c r="B256" s="18" t="inlineStr">
        <is>
          <t>Полюс Магадан</t>
        </is>
      </c>
      <c r="C256" s="14" t="inlineStr">
        <is>
          <t>NTE200</t>
        </is>
      </c>
      <c r="D256" s="14" t="inlineStr">
        <is>
          <t>NTE</t>
        </is>
      </c>
      <c r="E256" s="14" t="inlineStr">
        <is>
          <t>NHLT0ABAKPB100082</t>
        </is>
      </c>
      <c r="F256" s="14" t="inlineStr">
        <is>
          <t>50</t>
        </is>
      </c>
      <c r="G256" s="14" t="inlineStr">
        <is>
          <t>факт</t>
        </is>
      </c>
      <c r="H256" s="26" t="n">
        <v>45358</v>
      </c>
      <c r="I256" s="15">
        <f>IF(D256="TR100",$D$8,IF(H256&lt;$D$5,$D$6,$D$7))</f>
        <v>12</v>
      </c>
      <c r="J256" s="26">
        <f>EDATE(H256,I256)</f>
        <v>45723</v>
      </c>
    </row>
    <row r="257">
      <c r="A257" s="14" t="n">
        <v>247</v>
      </c>
      <c r="B257" s="18" t="inlineStr">
        <is>
          <t>Полюс Магадан</t>
        </is>
      </c>
      <c r="C257" s="14" t="inlineStr">
        <is>
          <t>NTE200</t>
        </is>
      </c>
      <c r="D257" s="14" t="inlineStr">
        <is>
          <t>NTE</t>
        </is>
      </c>
      <c r="E257" s="14" t="inlineStr">
        <is>
          <t>NHLT0ABALPB100087</t>
        </is>
      </c>
      <c r="F257" s="14" t="inlineStr">
        <is>
          <t>52</t>
        </is>
      </c>
      <c r="G257" s="14" t="inlineStr">
        <is>
          <t>факт</t>
        </is>
      </c>
      <c r="H257" s="26" t="n">
        <v>45364</v>
      </c>
      <c r="I257" s="15">
        <f>IF(D257="TR100",$D$8,IF(H257&lt;$D$5,$D$6,$D$7))</f>
        <v>12</v>
      </c>
      <c r="J257" s="26">
        <f>EDATE(H257,I257)</f>
        <v>45729</v>
      </c>
    </row>
    <row r="258">
      <c r="A258" s="14" t="n">
        <v>248</v>
      </c>
      <c r="B258" s="18" t="inlineStr">
        <is>
          <t>Полюс Магадан</t>
        </is>
      </c>
      <c r="C258" s="14" t="inlineStr">
        <is>
          <t>NTE200</t>
        </is>
      </c>
      <c r="D258" s="14" t="inlineStr">
        <is>
          <t>NTE</t>
        </is>
      </c>
      <c r="E258" s="14" t="inlineStr">
        <is>
          <t>NHLT0ABAHPB100088</t>
        </is>
      </c>
      <c r="F258" s="14" t="inlineStr">
        <is>
          <t>53</t>
        </is>
      </c>
      <c r="G258" s="14" t="inlineStr">
        <is>
          <t>факт</t>
        </is>
      </c>
      <c r="H258" s="26" t="n">
        <v>45378</v>
      </c>
      <c r="I258" s="15">
        <f>IF(D258="TR100",$D$8,IF(H258&lt;$D$5,$D$6,$D$7))</f>
        <v>12</v>
      </c>
      <c r="J258" s="26">
        <f>EDATE(H258,I258)</f>
        <v>45743</v>
      </c>
    </row>
    <row r="259">
      <c r="A259" s="14" t="n">
        <v>249</v>
      </c>
      <c r="B259" s="18" t="inlineStr">
        <is>
          <t>Полюс Магадан</t>
        </is>
      </c>
      <c r="C259" s="14" t="inlineStr">
        <is>
          <t>NTE200</t>
        </is>
      </c>
      <c r="D259" s="14" t="inlineStr">
        <is>
          <t>NTE</t>
        </is>
      </c>
      <c r="E259" s="14" t="inlineStr">
        <is>
          <t>NHLT0ABAJPB100083</t>
        </is>
      </c>
      <c r="F259" s="14" t="inlineStr">
        <is>
          <t>51</t>
        </is>
      </c>
      <c r="G259" s="14" t="inlineStr">
        <is>
          <t>факт</t>
        </is>
      </c>
      <c r="H259" s="26" t="n">
        <v>45379</v>
      </c>
      <c r="I259" s="15">
        <f>IF(D259="TR100",$D$8,IF(H259&lt;$D$5,$D$6,$D$7))</f>
        <v>12</v>
      </c>
      <c r="J259" s="26">
        <f>EDATE(H259,I259)</f>
        <v>45744</v>
      </c>
    </row>
    <row r="260">
      <c r="A260" s="14" t="n">
        <v>250</v>
      </c>
      <c r="B260" s="18" t="inlineStr">
        <is>
          <t>Полюс Магадан</t>
        </is>
      </c>
      <c r="C260" s="14" t="inlineStr">
        <is>
          <t>NTE200</t>
        </is>
      </c>
      <c r="D260" s="14" t="inlineStr">
        <is>
          <t>NTE</t>
        </is>
      </c>
      <c r="E260" s="14" t="inlineStr">
        <is>
          <t>NHLT0ABAEPB100089</t>
        </is>
      </c>
      <c r="F260" s="14" t="inlineStr">
        <is>
          <t>54</t>
        </is>
      </c>
      <c r="G260" s="14" t="inlineStr">
        <is>
          <t>факт</t>
        </is>
      </c>
      <c r="H260" s="26" t="n">
        <v>45391</v>
      </c>
      <c r="I260" s="15">
        <f>IF(D260="TR100",$D$8,IF(H260&lt;$D$5,$D$6,$D$7))</f>
        <v>12</v>
      </c>
      <c r="J260" s="26">
        <f>EDATE(H260,I260)</f>
        <v>45756</v>
      </c>
    </row>
    <row r="261">
      <c r="A261" s="14" t="n">
        <v>251</v>
      </c>
      <c r="B261" s="18" t="inlineStr">
        <is>
          <t>Полюс Магадан</t>
        </is>
      </c>
      <c r="C261" s="14" t="inlineStr">
        <is>
          <t>NTE200</t>
        </is>
      </c>
      <c r="D261" s="14" t="inlineStr">
        <is>
          <t>NTE</t>
        </is>
      </c>
      <c r="E261" s="14" t="inlineStr">
        <is>
          <t>NHLT0ABAKPB100096</t>
        </is>
      </c>
      <c r="F261" s="14" t="inlineStr">
        <is>
          <t>55</t>
        </is>
      </c>
      <c r="G261" s="14" t="inlineStr">
        <is>
          <t>факт</t>
        </is>
      </c>
      <c r="H261" s="26" t="n">
        <v>45394</v>
      </c>
      <c r="I261" s="15">
        <f>IF(D261="TR100",$D$8,IF(H261&lt;$D$5,$D$6,$D$7))</f>
        <v>12</v>
      </c>
      <c r="J261" s="26">
        <f>EDATE(H261,I261)</f>
        <v>45759</v>
      </c>
    </row>
    <row r="262">
      <c r="A262" s="14" t="n">
        <v>252</v>
      </c>
      <c r="B262" s="18" t="inlineStr">
        <is>
          <t>Полюс Магадан</t>
        </is>
      </c>
      <c r="C262" s="14" t="inlineStr">
        <is>
          <t>NTE200</t>
        </is>
      </c>
      <c r="D262" s="14" t="inlineStr">
        <is>
          <t>NTE</t>
        </is>
      </c>
      <c r="E262" s="14" t="inlineStr">
        <is>
          <t>NHLT0ABAHPB100091</t>
        </is>
      </c>
      <c r="F262" s="14" t="inlineStr">
        <is>
          <t>56</t>
        </is>
      </c>
      <c r="G262" s="14" t="inlineStr">
        <is>
          <t>факт</t>
        </is>
      </c>
      <c r="H262" s="26" t="n">
        <v>45399</v>
      </c>
      <c r="I262" s="15">
        <f>IF(D262="TR100",$D$8,IF(H262&lt;$D$5,$D$6,$D$7))</f>
        <v>12</v>
      </c>
      <c r="J262" s="26">
        <f>EDATE(H262,I262)</f>
        <v>45764</v>
      </c>
    </row>
    <row r="263">
      <c r="A263" s="14" t="n">
        <v>253</v>
      </c>
      <c r="B263" s="18" t="inlineStr">
        <is>
          <t>Полюс Магадан</t>
        </is>
      </c>
      <c r="C263" s="14" t="inlineStr">
        <is>
          <t>NTE200</t>
        </is>
      </c>
      <c r="D263" s="14" t="inlineStr">
        <is>
          <t>NTE</t>
        </is>
      </c>
      <c r="E263" s="14" t="inlineStr">
        <is>
          <t>NHLT0ABATPB100094</t>
        </is>
      </c>
      <c r="F263" s="14" t="inlineStr">
        <is>
          <t>57</t>
        </is>
      </c>
      <c r="G263" s="14" t="inlineStr">
        <is>
          <t>факт</t>
        </is>
      </c>
      <c r="H263" s="26" t="n">
        <v>45405</v>
      </c>
      <c r="I263" s="15">
        <f>IF(D263="TR100",$D$8,IF(H263&lt;$D$5,$D$6,$D$7))</f>
        <v>12</v>
      </c>
      <c r="J263" s="26">
        <f>EDATE(H263,I263)</f>
        <v>45770</v>
      </c>
    </row>
    <row r="264">
      <c r="A264" s="14" t="n">
        <v>254</v>
      </c>
      <c r="B264" s="18" t="inlineStr">
        <is>
          <t>Полюс Магадан</t>
        </is>
      </c>
      <c r="C264" s="14" t="inlineStr">
        <is>
          <t>NTE200</t>
        </is>
      </c>
      <c r="D264" s="14" t="inlineStr">
        <is>
          <t>NTE</t>
        </is>
      </c>
      <c r="E264" s="14" t="inlineStr">
        <is>
          <t>NHLT0ABAPPB100095</t>
        </is>
      </c>
      <c r="F264" s="14" t="inlineStr">
        <is>
          <t>58</t>
        </is>
      </c>
      <c r="G264" s="14" t="inlineStr">
        <is>
          <t>факт</t>
        </is>
      </c>
      <c r="H264" s="26" t="n">
        <v>45412</v>
      </c>
      <c r="I264" s="15">
        <f>IF(D264="TR100",$D$8,IF(H264&lt;$D$5,$D$6,$D$7))</f>
        <v>12</v>
      </c>
      <c r="J264" s="26">
        <f>EDATE(H264,I264)</f>
        <v>45777</v>
      </c>
    </row>
    <row r="265">
      <c r="A265" s="14" t="n">
        <v>255</v>
      </c>
      <c r="B265" s="18" t="inlineStr">
        <is>
          <t>Полюс Магадан</t>
        </is>
      </c>
      <c r="C265" s="14" t="inlineStr">
        <is>
          <t>NTE200</t>
        </is>
      </c>
      <c r="D265" s="14" t="inlineStr">
        <is>
          <t>NTE</t>
        </is>
      </c>
      <c r="E265" s="14" t="inlineStr">
        <is>
          <t>NHLT0ABACPB100098</t>
        </is>
      </c>
      <c r="F265" s="14" t="inlineStr">
        <is>
          <t>59</t>
        </is>
      </c>
      <c r="G265" s="14" t="inlineStr">
        <is>
          <t>факт</t>
        </is>
      </c>
      <c r="H265" s="26" t="n">
        <v>45416</v>
      </c>
      <c r="I265" s="15">
        <f>IF(D265="TR100",$D$8,IF(H265&lt;$D$5,$D$6,$D$7))</f>
        <v>12</v>
      </c>
      <c r="J265" s="26">
        <f>EDATE(H265,I265)</f>
        <v>45781</v>
      </c>
    </row>
    <row r="266">
      <c r="A266" s="14" t="n">
        <v>256</v>
      </c>
      <c r="B266" s="18" t="inlineStr">
        <is>
          <t>Полюс Магадан</t>
        </is>
      </c>
      <c r="C266" s="14" t="inlineStr">
        <is>
          <t>NTE200</t>
        </is>
      </c>
      <c r="D266" s="14" t="inlineStr">
        <is>
          <t>NTE</t>
        </is>
      </c>
      <c r="E266" s="14" t="inlineStr">
        <is>
          <t>NHLT0ABATPB100077</t>
        </is>
      </c>
      <c r="F266" s="14" t="inlineStr">
        <is>
          <t>60</t>
        </is>
      </c>
      <c r="G266" s="14" t="inlineStr">
        <is>
          <t>факт</t>
        </is>
      </c>
      <c r="H266" s="26" t="n">
        <v>45417</v>
      </c>
      <c r="I266" s="15">
        <f>IF(D266="TR100",$D$8,IF(H266&lt;$D$5,$D$6,$D$7))</f>
        <v>12</v>
      </c>
      <c r="J266" s="26">
        <f>EDATE(H266,I266)</f>
        <v>45782</v>
      </c>
    </row>
    <row r="267">
      <c r="A267" s="14" t="n">
        <v>257</v>
      </c>
      <c r="B267" s="18" t="inlineStr">
        <is>
          <t>Полюс Магадан</t>
        </is>
      </c>
      <c r="C267" s="14" t="inlineStr">
        <is>
          <t>NTE200</t>
        </is>
      </c>
      <c r="D267" s="14" t="inlineStr">
        <is>
          <t>NTE</t>
        </is>
      </c>
      <c r="E267" s="14" t="inlineStr">
        <is>
          <t>NHLT0ABAEPB100092</t>
        </is>
      </c>
      <c r="F267" s="14" t="inlineStr">
        <is>
          <t>61</t>
        </is>
      </c>
      <c r="G267" s="14" t="inlineStr">
        <is>
          <t>факт</t>
        </is>
      </c>
      <c r="H267" s="26" t="n">
        <v>45423</v>
      </c>
      <c r="I267" s="15">
        <f>IF(D267="TR100",$D$8,IF(H267&lt;$D$5,$D$6,$D$7))</f>
        <v>12</v>
      </c>
      <c r="J267" s="26">
        <f>EDATE(H267,I267)</f>
        <v>45788</v>
      </c>
    </row>
    <row r="268">
      <c r="A268" s="14" t="n">
        <v>258</v>
      </c>
      <c r="B268" s="18" t="inlineStr">
        <is>
          <t>Полюс Магадан</t>
        </is>
      </c>
      <c r="C268" s="14" t="inlineStr">
        <is>
          <t>NTE200</t>
        </is>
      </c>
      <c r="D268" s="14" t="inlineStr">
        <is>
          <t>NTE</t>
        </is>
      </c>
      <c r="E268" s="14" t="inlineStr">
        <is>
          <t>NHLT0ABACPB100093</t>
        </is>
      </c>
      <c r="F268" s="14" t="inlineStr">
        <is>
          <t>62</t>
        </is>
      </c>
      <c r="G268" s="14" t="inlineStr">
        <is>
          <t>факт</t>
        </is>
      </c>
      <c r="H268" s="26" t="n">
        <v>45423</v>
      </c>
      <c r="I268" s="15">
        <f>IF(D268="TR100",$D$8,IF(H268&lt;$D$5,$D$6,$D$7))</f>
        <v>12</v>
      </c>
      <c r="J268" s="26">
        <f>EDATE(H268,I268)</f>
        <v>45788</v>
      </c>
    </row>
    <row r="269">
      <c r="A269" s="14" t="n">
        <v>259</v>
      </c>
      <c r="B269" s="18" t="inlineStr">
        <is>
          <t>Полюс Магадан</t>
        </is>
      </c>
      <c r="C269" s="14" t="inlineStr">
        <is>
          <t>NTE200</t>
        </is>
      </c>
      <c r="D269" s="14" t="inlineStr">
        <is>
          <t>NTE</t>
        </is>
      </c>
      <c r="E269" s="14" t="inlineStr">
        <is>
          <t>NHLT0ABAPRB100102</t>
        </is>
      </c>
      <c r="F269" s="14" t="inlineStr">
        <is>
          <t>63</t>
        </is>
      </c>
      <c r="G269" s="14" t="inlineStr">
        <is>
          <t>факт</t>
        </is>
      </c>
      <c r="H269" s="26" t="n">
        <v>45654</v>
      </c>
      <c r="I269" s="15">
        <f>IF(D269="TR100",$D$8,IF(H269&lt;$D$5,$D$6,$D$7))</f>
        <v>12</v>
      </c>
      <c r="J269" s="26">
        <f>EDATE(H269,I269)</f>
        <v>46019</v>
      </c>
    </row>
    <row r="270">
      <c r="A270" s="14" t="n">
        <v>260</v>
      </c>
      <c r="B270" s="18" t="inlineStr">
        <is>
          <t>Полюс Магадан</t>
        </is>
      </c>
      <c r="C270" s="14" t="inlineStr">
        <is>
          <t>NTE200</t>
        </is>
      </c>
      <c r="D270" s="14" t="inlineStr">
        <is>
          <t>NTE</t>
        </is>
      </c>
      <c r="E270" s="14" t="inlineStr">
        <is>
          <t>NHLT0ABAHRB100109</t>
        </is>
      </c>
      <c r="F270" s="14" t="inlineStr">
        <is>
          <t>65</t>
        </is>
      </c>
      <c r="G270" s="14" t="inlineStr">
        <is>
          <t>факт</t>
        </is>
      </c>
      <c r="H270" s="26" t="n">
        <v>45655</v>
      </c>
      <c r="I270" s="15">
        <f>IF(D270="TR100",$D$8,IF(H270&lt;$D$5,$D$6,$D$7))</f>
        <v>12</v>
      </c>
      <c r="J270" s="26">
        <f>EDATE(H270,I270)</f>
        <v>46020</v>
      </c>
    </row>
    <row r="271">
      <c r="A271" s="14" t="n">
        <v>261</v>
      </c>
      <c r="B271" s="18" t="inlineStr">
        <is>
          <t>Полюс Магадан</t>
        </is>
      </c>
      <c r="C271" s="14" t="inlineStr">
        <is>
          <t>NTE200</t>
        </is>
      </c>
      <c r="D271" s="14" t="inlineStr">
        <is>
          <t>NTE</t>
        </is>
      </c>
      <c r="E271" s="14" t="inlineStr">
        <is>
          <t>NHLT0ABALRB100108</t>
        </is>
      </c>
      <c r="F271" s="14" t="inlineStr">
        <is>
          <t>64</t>
        </is>
      </c>
      <c r="G271" s="14" t="inlineStr">
        <is>
          <t>факт</t>
        </is>
      </c>
      <c r="H271" s="26" t="n">
        <v>45659</v>
      </c>
      <c r="I271" s="15">
        <f>IF(D271="TR100",$D$8,IF(H271&lt;$D$5,$D$6,$D$7))</f>
        <v>12</v>
      </c>
      <c r="J271" s="26">
        <f>EDATE(H271,I271)</f>
        <v>46024</v>
      </c>
    </row>
    <row r="272">
      <c r="A272" s="14" t="n">
        <v>262</v>
      </c>
      <c r="B272" s="18" t="inlineStr">
        <is>
          <t>Полюс Магадан</t>
        </is>
      </c>
      <c r="C272" s="14" t="inlineStr">
        <is>
          <t>NTE200</t>
        </is>
      </c>
      <c r="D272" s="14" t="inlineStr">
        <is>
          <t>NTE</t>
        </is>
      </c>
      <c r="E272" s="14" t="inlineStr">
        <is>
          <t>NHLT0ABAARB100107</t>
        </is>
      </c>
      <c r="F272" s="14" t="inlineStr">
        <is>
          <t>66</t>
        </is>
      </c>
      <c r="G272" s="14" t="inlineStr">
        <is>
          <t>факт</t>
        </is>
      </c>
      <c r="H272" s="26" t="n">
        <v>45665</v>
      </c>
      <c r="I272" s="15">
        <f>IF(D272="TR100",$D$8,IF(H272&lt;$D$5,$D$6,$D$7))</f>
        <v>12</v>
      </c>
      <c r="J272" s="26">
        <f>EDATE(H272,I272)</f>
        <v>46030</v>
      </c>
    </row>
    <row r="273">
      <c r="A273" s="14" t="n">
        <v>263</v>
      </c>
      <c r="B273" s="18" t="inlineStr">
        <is>
          <t>Полюс Магадан</t>
        </is>
      </c>
      <c r="C273" s="14" t="inlineStr">
        <is>
          <t>NTE200</t>
        </is>
      </c>
      <c r="D273" s="14" t="inlineStr">
        <is>
          <t>NTE</t>
        </is>
      </c>
      <c r="E273" s="14" t="inlineStr">
        <is>
          <t>NHLT0ABATRB100101</t>
        </is>
      </c>
      <c r="F273" s="14" t="inlineStr">
        <is>
          <t>67</t>
        </is>
      </c>
      <c r="G273" s="14" t="inlineStr">
        <is>
          <t>факт</t>
        </is>
      </c>
      <c r="H273" s="26" t="n">
        <v>45665</v>
      </c>
      <c r="I273" s="15">
        <f>IF(D273="TR100",$D$8,IF(H273&lt;$D$5,$D$6,$D$7))</f>
        <v>12</v>
      </c>
      <c r="J273" s="26">
        <f>EDATE(H273,I273)</f>
        <v>46030</v>
      </c>
    </row>
    <row r="274">
      <c r="A274" s="14" t="n">
        <v>264</v>
      </c>
      <c r="B274" s="18" t="inlineStr">
        <is>
          <t>Полюс Магадан</t>
        </is>
      </c>
      <c r="C274" s="14" t="inlineStr">
        <is>
          <t>NTE200</t>
        </is>
      </c>
      <c r="D274" s="14" t="inlineStr">
        <is>
          <t>NTE</t>
        </is>
      </c>
      <c r="E274" s="14" t="inlineStr">
        <is>
          <t>NHLT0ABAPRB100097</t>
        </is>
      </c>
      <c r="F274" s="14" t="inlineStr">
        <is>
          <t>69</t>
        </is>
      </c>
      <c r="G274" s="14" t="inlineStr">
        <is>
          <t>факт</t>
        </is>
      </c>
      <c r="H274" s="26" t="n">
        <v>45666</v>
      </c>
      <c r="I274" s="15">
        <f>IF(D274="TR100",$D$8,IF(H274&lt;$D$5,$D$6,$D$7))</f>
        <v>12</v>
      </c>
      <c r="J274" s="26">
        <f>EDATE(H274,I274)</f>
        <v>46031</v>
      </c>
    </row>
    <row r="275">
      <c r="A275" s="14" t="n">
        <v>265</v>
      </c>
      <c r="B275" s="18" t="inlineStr">
        <is>
          <t>Полюс Магадан</t>
        </is>
      </c>
      <c r="C275" s="14" t="inlineStr">
        <is>
          <t>NTE200</t>
        </is>
      </c>
      <c r="D275" s="14" t="inlineStr">
        <is>
          <t>NTE</t>
        </is>
      </c>
      <c r="E275" s="14" t="inlineStr">
        <is>
          <t>NHLT0ABAARB100110</t>
        </is>
      </c>
      <c r="F275" s="14" t="inlineStr">
        <is>
          <t>70</t>
        </is>
      </c>
      <c r="G275" s="14" t="inlineStr">
        <is>
          <t>факт</t>
        </is>
      </c>
      <c r="H275" s="26" t="n">
        <v>45666</v>
      </c>
      <c r="I275" s="15">
        <f>IF(D275="TR100",$D$8,IF(H275&lt;$D$5,$D$6,$D$7))</f>
        <v>12</v>
      </c>
      <c r="J275" s="26">
        <f>EDATE(H275,I275)</f>
        <v>46031</v>
      </c>
    </row>
    <row r="276">
      <c r="A276" s="14" t="n">
        <v>266</v>
      </c>
      <c r="B276" s="18" t="inlineStr">
        <is>
          <t>Полюс Магадан</t>
        </is>
      </c>
      <c r="C276" s="14" t="inlineStr">
        <is>
          <t>NTE200</t>
        </is>
      </c>
      <c r="D276" s="14" t="inlineStr">
        <is>
          <t>NTE</t>
        </is>
      </c>
      <c r="E276" s="14" t="inlineStr">
        <is>
          <t>NHLT0ABACRB100100</t>
        </is>
      </c>
      <c r="F276" s="14" t="inlineStr">
        <is>
          <t>68</t>
        </is>
      </c>
      <c r="G276" s="14" t="inlineStr">
        <is>
          <t>факт</t>
        </is>
      </c>
      <c r="H276" s="26" t="n">
        <v>45667</v>
      </c>
      <c r="I276" s="15">
        <f>IF(D276="TR100",$D$8,IF(H276&lt;$D$5,$D$6,$D$7))</f>
        <v>12</v>
      </c>
      <c r="J276" s="26">
        <f>EDATE(H276,I276)</f>
        <v>46032</v>
      </c>
    </row>
    <row r="277">
      <c r="A277" s="14" t="n">
        <v>267</v>
      </c>
      <c r="B277" s="18" t="inlineStr">
        <is>
          <t>Полюс Магадан</t>
        </is>
      </c>
      <c r="C277" s="14" t="inlineStr">
        <is>
          <t>NTE200</t>
        </is>
      </c>
      <c r="D277" s="14" t="inlineStr">
        <is>
          <t>NTE</t>
        </is>
      </c>
      <c r="E277" s="14" t="inlineStr">
        <is>
          <t>NHLT0ABAVRB100090</t>
        </is>
      </c>
      <c r="F277" s="14" t="inlineStr">
        <is>
          <t>71</t>
        </is>
      </c>
      <c r="G277" s="14" t="inlineStr">
        <is>
          <t>факт</t>
        </is>
      </c>
      <c r="H277" s="26" t="n">
        <v>45693</v>
      </c>
      <c r="I277" s="15">
        <f>IF(D277="TR100",$D$8,IF(H277&lt;$D$5,$D$6,$D$7))</f>
        <v>12</v>
      </c>
      <c r="J277" s="26">
        <f>EDATE(H277,I277)</f>
        <v>46058</v>
      </c>
    </row>
    <row r="278">
      <c r="A278" s="14" t="n">
        <v>268</v>
      </c>
      <c r="B278" s="18" t="inlineStr">
        <is>
          <t>Полюс Магадан</t>
        </is>
      </c>
      <c r="C278" s="14" t="inlineStr">
        <is>
          <t>NTE200</t>
        </is>
      </c>
      <c r="D278" s="14" t="inlineStr">
        <is>
          <t>NTE</t>
        </is>
      </c>
      <c r="E278" s="14" t="inlineStr">
        <is>
          <t>NHLT0ABAVRB100106</t>
        </is>
      </c>
      <c r="F278" s="14" t="inlineStr">
        <is>
          <t>72</t>
        </is>
      </c>
      <c r="G278" s="14" t="inlineStr">
        <is>
          <t>факт</t>
        </is>
      </c>
      <c r="H278" s="26" t="n">
        <v>45697</v>
      </c>
      <c r="I278" s="15">
        <f>IF(D278="TR100",$D$8,IF(H278&lt;$D$5,$D$6,$D$7))</f>
        <v>12</v>
      </c>
      <c r="J278" s="26">
        <f>EDATE(H278,I278)</f>
        <v>46062</v>
      </c>
    </row>
    <row r="279">
      <c r="A279" s="14" t="n">
        <v>269</v>
      </c>
      <c r="B279" s="18" t="inlineStr">
        <is>
          <t>Полюс Магадан</t>
        </is>
      </c>
      <c r="C279" s="14" t="inlineStr">
        <is>
          <t>NTE200</t>
        </is>
      </c>
      <c r="D279" s="14" t="inlineStr">
        <is>
          <t>NTE</t>
        </is>
      </c>
      <c r="E279" s="14" t="inlineStr">
        <is>
          <t>NHLT0ABAHRB100112</t>
        </is>
      </c>
      <c r="F279" s="14" t="inlineStr">
        <is>
          <t>73</t>
        </is>
      </c>
      <c r="G279" s="14" t="inlineStr">
        <is>
          <t>факт</t>
        </is>
      </c>
      <c r="H279" s="26" t="n">
        <v>45700</v>
      </c>
      <c r="I279" s="15">
        <f>IF(D279="TR100",$D$8,IF(H279&lt;$D$5,$D$6,$D$7))</f>
        <v>12</v>
      </c>
      <c r="J279" s="26">
        <f>EDATE(H279,I279)</f>
        <v>46065</v>
      </c>
    </row>
    <row r="280">
      <c r="A280" s="14" t="n">
        <v>270</v>
      </c>
      <c r="B280" s="18" t="inlineStr">
        <is>
          <t>Полюс Магадан</t>
        </is>
      </c>
      <c r="C280" s="14" t="inlineStr">
        <is>
          <t>NTE200</t>
        </is>
      </c>
      <c r="D280" s="14" t="inlineStr">
        <is>
          <t>NTE</t>
        </is>
      </c>
      <c r="E280" s="14" t="inlineStr">
        <is>
          <t>NHLT0ABALRB100111</t>
        </is>
      </c>
      <c r="F280" s="14" t="inlineStr">
        <is>
          <t>74</t>
        </is>
      </c>
      <c r="G280" s="14" t="inlineStr">
        <is>
          <t>факт</t>
        </is>
      </c>
      <c r="H280" s="26" t="n">
        <v>45704</v>
      </c>
      <c r="I280" s="15">
        <f>IF(D280="TR100",$D$8,IF(H280&lt;$D$5,$D$6,$D$7))</f>
        <v>12</v>
      </c>
      <c r="J280" s="26">
        <f>EDATE(H280,I280)</f>
        <v>46069</v>
      </c>
    </row>
    <row r="281">
      <c r="A281" s="14" t="n">
        <v>271</v>
      </c>
      <c r="B281" s="18" t="inlineStr">
        <is>
          <t>Полюс Магадан</t>
        </is>
      </c>
      <c r="C281" s="14" t="inlineStr">
        <is>
          <t>NTE200</t>
        </is>
      </c>
      <c r="D281" s="14" t="inlineStr">
        <is>
          <t>NTE</t>
        </is>
      </c>
      <c r="E281" s="14" t="inlineStr">
        <is>
          <t>NHLT0ABAJRB100099</t>
        </is>
      </c>
      <c r="F281" s="14" t="inlineStr">
        <is>
          <t>75</t>
        </is>
      </c>
      <c r="G281" s="14" t="inlineStr">
        <is>
          <t>факт</t>
        </is>
      </c>
      <c r="H281" s="26" t="n">
        <v>45710</v>
      </c>
      <c r="I281" s="15">
        <f>IF(D281="TR100",$D$8,IF(H281&lt;$D$5,$D$6,$D$7))</f>
        <v>12</v>
      </c>
      <c r="J281" s="26">
        <f>EDATE(H281,I281)</f>
        <v>46075</v>
      </c>
    </row>
    <row r="282">
      <c r="A282" s="14" t="n">
        <v>272</v>
      </c>
      <c r="B282" s="18" t="inlineStr">
        <is>
          <t>Полюс Магадан</t>
        </is>
      </c>
      <c r="C282" s="14" t="inlineStr">
        <is>
          <t>NTE200</t>
        </is>
      </c>
      <c r="D282" s="14" t="inlineStr">
        <is>
          <t>NTE</t>
        </is>
      </c>
      <c r="E282" s="14" t="inlineStr">
        <is>
          <t>NHLT0ABACRB100105</t>
        </is>
      </c>
      <c r="F282" s="14" t="inlineStr">
        <is>
          <t>76</t>
        </is>
      </c>
      <c r="G282" s="14" t="inlineStr">
        <is>
          <t>факт</t>
        </is>
      </c>
      <c r="H282" s="26" t="n">
        <v>45716</v>
      </c>
      <c r="I282" s="15">
        <f>IF(D282="TR100",$D$8,IF(H282&lt;$D$5,$D$6,$D$7))</f>
        <v>12</v>
      </c>
      <c r="J282" s="26">
        <f>EDATE(H282,I282)</f>
        <v>46081</v>
      </c>
    </row>
    <row r="283">
      <c r="A283" s="14" t="n">
        <v>273</v>
      </c>
      <c r="B283" s="18" t="inlineStr">
        <is>
          <t>Полюс Магадан</t>
        </is>
      </c>
      <c r="C283" s="14" t="inlineStr">
        <is>
          <t>NTE200</t>
        </is>
      </c>
      <c r="D283" s="14" t="inlineStr">
        <is>
          <t>NTE</t>
        </is>
      </c>
      <c r="E283" s="14" t="inlineStr">
        <is>
          <t>NHLT0ABAKRB100103</t>
        </is>
      </c>
      <c r="F283" s="14" t="inlineStr">
        <is>
          <t>77</t>
        </is>
      </c>
      <c r="G283" s="14" t="inlineStr">
        <is>
          <t>факт</t>
        </is>
      </c>
      <c r="H283" s="26" t="n">
        <v>45719</v>
      </c>
      <c r="I283" s="15">
        <f>IF(D283="TR100",$D$8,IF(H283&lt;$D$5,$D$6,$D$7))</f>
        <v>12</v>
      </c>
      <c r="J283" s="26">
        <f>EDATE(H283,I283)</f>
        <v>46084</v>
      </c>
    </row>
    <row r="284">
      <c r="A284" s="14" t="n">
        <v>274</v>
      </c>
      <c r="B284" s="18" t="inlineStr">
        <is>
          <t>Полюс Магадан</t>
        </is>
      </c>
      <c r="C284" s="14" t="inlineStr">
        <is>
          <t>NTE200</t>
        </is>
      </c>
      <c r="D284" s="14" t="inlineStr">
        <is>
          <t>NTE</t>
        </is>
      </c>
      <c r="E284" s="14" t="inlineStr">
        <is>
          <t>NHLT0ABAJRB100104</t>
        </is>
      </c>
      <c r="F284" s="14" t="inlineStr">
        <is>
          <t>78</t>
        </is>
      </c>
      <c r="G284" s="14" t="inlineStr">
        <is>
          <t>факт</t>
        </is>
      </c>
      <c r="H284" s="26" t="n">
        <v>45724</v>
      </c>
      <c r="I284" s="15">
        <f>IF(D284="TR100",$D$8,IF(H284&lt;$D$5,$D$6,$D$7))</f>
        <v>12</v>
      </c>
      <c r="J284" s="26">
        <f>EDATE(H284,I284)</f>
        <v>46089</v>
      </c>
    </row>
    <row r="285">
      <c r="A285" s="14" t="n">
        <v>275</v>
      </c>
      <c r="B285" s="18" t="inlineStr">
        <is>
          <t>Полюс Магадан</t>
        </is>
      </c>
      <c r="C285" s="14" t="inlineStr">
        <is>
          <t>NTE200</t>
        </is>
      </c>
      <c r="D285" s="14" t="inlineStr">
        <is>
          <t>NTE</t>
        </is>
      </c>
      <c r="E285" s="14" t="inlineStr">
        <is>
          <t>NHLT0ABAKSB100124</t>
        </is>
      </c>
      <c r="F285" s="14" t="inlineStr">
        <is>
          <t>79</t>
        </is>
      </c>
      <c r="G285" s="14" t="inlineStr">
        <is>
          <t>факт</t>
        </is>
      </c>
      <c r="H285" s="26" t="n">
        <v>45945</v>
      </c>
      <c r="I285" s="15">
        <f>IF(D285="TR100",$D$8,IF(H285&lt;$D$5,$D$6,$D$7))</f>
        <v>24</v>
      </c>
      <c r="J285" s="26">
        <f>EDATE(H285,I285)</f>
        <v>46675</v>
      </c>
    </row>
    <row r="286">
      <c r="A286" s="14" t="n">
        <v>276</v>
      </c>
      <c r="B286" s="18" t="inlineStr">
        <is>
          <t>Полюс Магадан</t>
        </is>
      </c>
      <c r="C286" s="14" t="inlineStr">
        <is>
          <t>NTE200</t>
        </is>
      </c>
      <c r="D286" s="14" t="inlineStr">
        <is>
          <t>NTE</t>
        </is>
      </c>
      <c r="E286" s="14" t="inlineStr">
        <is>
          <t>NHLT0ABAPSB100123</t>
        </is>
      </c>
      <c r="F286" s="14" t="inlineStr">
        <is>
          <t>81</t>
        </is>
      </c>
      <c r="G286" s="14" t="inlineStr">
        <is>
          <t>факт</t>
        </is>
      </c>
      <c r="H286" s="26" t="n">
        <v>45957</v>
      </c>
      <c r="I286" s="15">
        <f>IF(D286="TR100",$D$8,IF(H286&lt;$D$5,$D$6,$D$7))</f>
        <v>24</v>
      </c>
      <c r="J286" s="26">
        <f>EDATE(H286,I286)</f>
        <v>46687</v>
      </c>
    </row>
    <row r="287">
      <c r="A287" s="14" t="n">
        <v>277</v>
      </c>
      <c r="B287" s="18" t="inlineStr">
        <is>
          <t>Полюс Магадан</t>
        </is>
      </c>
      <c r="C287" s="14" t="inlineStr">
        <is>
          <t>NTE200</t>
        </is>
      </c>
      <c r="D287" s="14" t="inlineStr">
        <is>
          <t>NTE</t>
        </is>
      </c>
      <c r="E287" s="14" t="inlineStr">
        <is>
          <t>NHLT0ABAJSB100125</t>
        </is>
      </c>
      <c r="F287" s="14" t="inlineStr">
        <is>
          <t>80</t>
        </is>
      </c>
      <c r="G287" s="14" t="inlineStr">
        <is>
          <t>факт</t>
        </is>
      </c>
      <c r="H287" s="26" t="n">
        <v>45960</v>
      </c>
      <c r="I287" s="15">
        <f>IF(D287="TR100",$D$8,IF(H287&lt;$D$5,$D$6,$D$7))</f>
        <v>24</v>
      </c>
      <c r="J287" s="26">
        <f>EDATE(H287,I287)</f>
        <v>46690</v>
      </c>
    </row>
    <row r="288">
      <c r="A288" s="14" t="n">
        <v>278</v>
      </c>
      <c r="B288" s="18" t="inlineStr">
        <is>
          <t>Полюс Магадан</t>
        </is>
      </c>
      <c r="C288" s="14" t="inlineStr">
        <is>
          <t>NTE200</t>
        </is>
      </c>
      <c r="D288" s="14" t="inlineStr">
        <is>
          <t>NTE</t>
        </is>
      </c>
      <c r="E288" s="14" t="inlineStr">
        <is>
          <t>NHLT0ABAVSB100127</t>
        </is>
      </c>
      <c r="F288" s="14" t="inlineStr">
        <is>
          <t>83</t>
        </is>
      </c>
      <c r="G288" s="14" t="inlineStr">
        <is>
          <t>факт</t>
        </is>
      </c>
      <c r="H288" s="26" t="n">
        <v>45986</v>
      </c>
      <c r="I288" s="15">
        <f>IF(D288="TR100",$D$8,IF(H288&lt;$D$5,$D$6,$D$7))</f>
        <v>24</v>
      </c>
      <c r="J288" s="26">
        <f>EDATE(H288,I288)</f>
        <v>46716</v>
      </c>
    </row>
    <row r="289">
      <c r="A289" s="14" t="n">
        <v>279</v>
      </c>
      <c r="B289" s="18" t="inlineStr">
        <is>
          <t>Полюс Магадан</t>
        </is>
      </c>
      <c r="C289" s="14" t="inlineStr">
        <is>
          <t>NTE200</t>
        </is>
      </c>
      <c r="D289" s="14" t="inlineStr">
        <is>
          <t>NTE</t>
        </is>
      </c>
      <c r="E289" s="14" t="inlineStr">
        <is>
          <t>NHLT0ABACSB100126</t>
        </is>
      </c>
      <c r="F289" s="14" t="inlineStr">
        <is>
          <t>82</t>
        </is>
      </c>
      <c r="G289" s="14" t="inlineStr">
        <is>
          <t>факт</t>
        </is>
      </c>
      <c r="H289" s="26" t="n">
        <v>45992</v>
      </c>
      <c r="I289" s="15">
        <f>IF(D289="TR100",$D$8,IF(H289&lt;$D$5,$D$6,$D$7))</f>
        <v>24</v>
      </c>
      <c r="J289" s="26">
        <f>EDATE(H289,I289)</f>
        <v>46722</v>
      </c>
    </row>
    <row r="290">
      <c r="A290" s="14" t="n">
        <v>280</v>
      </c>
      <c r="B290" s="18" t="inlineStr">
        <is>
          <t>Полюс Магадан</t>
        </is>
      </c>
      <c r="C290" s="14" t="inlineStr">
        <is>
          <t>NTE200</t>
        </is>
      </c>
      <c r="D290" s="14" t="inlineStr">
        <is>
          <t>NTE</t>
        </is>
      </c>
      <c r="E290" s="14" t="inlineStr">
        <is>
          <t>NHLT0ABALSB100129</t>
        </is>
      </c>
      <c r="F290" s="14" t="inlineStr">
        <is>
          <t>85</t>
        </is>
      </c>
      <c r="G290" s="14" t="inlineStr">
        <is>
          <t>факт</t>
        </is>
      </c>
      <c r="H290" s="26" t="n">
        <v>45993</v>
      </c>
      <c r="I290" s="15">
        <f>IF(D290="TR100",$D$8,IF(H290&lt;$D$5,$D$6,$D$7))</f>
        <v>24</v>
      </c>
      <c r="J290" s="26">
        <f>EDATE(H290,I290)</f>
        <v>46723</v>
      </c>
    </row>
    <row r="291">
      <c r="A291" s="14" t="n">
        <v>281</v>
      </c>
      <c r="B291" s="18" t="inlineStr">
        <is>
          <t>Полюс Магадан</t>
        </is>
      </c>
      <c r="C291" s="14" t="inlineStr">
        <is>
          <t>NTE200</t>
        </is>
      </c>
      <c r="D291" s="14" t="inlineStr">
        <is>
          <t>NTE</t>
        </is>
      </c>
      <c r="E291" s="14" t="inlineStr">
        <is>
          <t>NHLT0ABAASB100131</t>
        </is>
      </c>
      <c r="F291" s="14" t="inlineStr">
        <is>
          <t>87</t>
        </is>
      </c>
      <c r="G291" s="14" t="inlineStr">
        <is>
          <t>факт</t>
        </is>
      </c>
      <c r="H291" s="26" t="n">
        <v>46000</v>
      </c>
      <c r="I291" s="15">
        <f>IF(D291="TR100",$D$8,IF(H291&lt;$D$5,$D$6,$D$7))</f>
        <v>24</v>
      </c>
      <c r="J291" s="26">
        <f>EDATE(H291,I291)</f>
        <v>46730</v>
      </c>
    </row>
    <row r="292">
      <c r="A292" s="14" t="n">
        <v>282</v>
      </c>
      <c r="B292" s="18" t="inlineStr">
        <is>
          <t>Полюс Магадан</t>
        </is>
      </c>
      <c r="C292" s="14" t="inlineStr">
        <is>
          <t>NTE200</t>
        </is>
      </c>
      <c r="D292" s="14" t="inlineStr">
        <is>
          <t>NTE</t>
        </is>
      </c>
      <c r="E292" s="14" t="inlineStr">
        <is>
          <t>NHLT0ABAVSB100130</t>
        </is>
      </c>
      <c r="F292" s="14" t="inlineStr">
        <is>
          <t>86</t>
        </is>
      </c>
      <c r="G292" s="14" t="inlineStr">
        <is>
          <t>факт</t>
        </is>
      </c>
      <c r="H292" s="26" t="n">
        <v>46004</v>
      </c>
      <c r="I292" s="15">
        <f>IF(D292="TR100",$D$8,IF(H292&lt;$D$5,$D$6,$D$7))</f>
        <v>24</v>
      </c>
      <c r="J292" s="26">
        <f>EDATE(H292,I292)</f>
        <v>46734</v>
      </c>
    </row>
    <row r="293">
      <c r="A293" s="14" t="n">
        <v>283</v>
      </c>
      <c r="B293" s="18" t="inlineStr">
        <is>
          <t>Полюс Магадан</t>
        </is>
      </c>
      <c r="C293" s="14" t="inlineStr">
        <is>
          <t>NTE200</t>
        </is>
      </c>
      <c r="D293" s="14" t="inlineStr">
        <is>
          <t>NTE</t>
        </is>
      </c>
      <c r="E293" s="14" t="inlineStr">
        <is>
          <t>NHLT0ABAHSB100133</t>
        </is>
      </c>
      <c r="F293" s="14" t="inlineStr">
        <is>
          <t>89</t>
        </is>
      </c>
      <c r="G293" s="14" t="inlineStr">
        <is>
          <t>факт</t>
        </is>
      </c>
      <c r="H293" s="26" t="n">
        <v>46009</v>
      </c>
      <c r="I293" s="15">
        <f>IF(D293="TR100",$D$8,IF(H293&lt;$D$5,$D$6,$D$7))</f>
        <v>24</v>
      </c>
      <c r="J293" s="26">
        <f>EDATE(H293,I293)</f>
        <v>46739</v>
      </c>
    </row>
    <row r="294">
      <c r="A294" s="14" t="n">
        <v>284</v>
      </c>
      <c r="B294" s="18" t="inlineStr">
        <is>
          <t>Полюс Магадан</t>
        </is>
      </c>
      <c r="C294" s="14" t="inlineStr">
        <is>
          <t>NTE200</t>
        </is>
      </c>
      <c r="D294" s="14" t="inlineStr">
        <is>
          <t>NTE</t>
        </is>
      </c>
      <c r="E294" s="14" t="inlineStr">
        <is>
          <t>NHLT0ABAASB100128</t>
        </is>
      </c>
      <c r="F294" s="14" t="inlineStr">
        <is>
          <t>84</t>
        </is>
      </c>
      <c r="G294" s="14" t="inlineStr">
        <is>
          <t>факт</t>
        </is>
      </c>
      <c r="H294" s="26" t="n">
        <v>46013</v>
      </c>
      <c r="I294" s="15">
        <f>IF(D294="TR100",$D$8,IF(H294&lt;$D$5,$D$6,$D$7))</f>
        <v>24</v>
      </c>
      <c r="J294" s="26">
        <f>EDATE(H294,I294)</f>
        <v>46743</v>
      </c>
    </row>
    <row r="295">
      <c r="A295" s="14" t="n">
        <v>285</v>
      </c>
      <c r="B295" s="18" t="inlineStr">
        <is>
          <t>Полюс Магадан</t>
        </is>
      </c>
      <c r="C295" s="14" t="inlineStr">
        <is>
          <t>NTE200</t>
        </is>
      </c>
      <c r="D295" s="14" t="inlineStr">
        <is>
          <t>NTE</t>
        </is>
      </c>
      <c r="E295" s="14" t="inlineStr">
        <is>
          <t>NHLT0ABALSB100132</t>
        </is>
      </c>
      <c r="F295" s="14" t="inlineStr">
        <is>
          <t>88</t>
        </is>
      </c>
      <c r="G295" s="14" t="inlineStr">
        <is>
          <t>факт</t>
        </is>
      </c>
      <c r="H295" s="26" t="n">
        <v>46018</v>
      </c>
      <c r="I295" s="15">
        <f>IF(D295="TR100",$D$8,IF(H295&lt;$D$5,$D$6,$D$7))</f>
        <v>24</v>
      </c>
      <c r="J295" s="26">
        <f>EDATE(H295,I295)</f>
        <v>46748</v>
      </c>
    </row>
    <row r="296">
      <c r="A296" s="14" t="n">
        <v>286</v>
      </c>
      <c r="B296" s="18" t="inlineStr">
        <is>
          <t>Полюс Магадан</t>
        </is>
      </c>
      <c r="C296" s="14" t="inlineStr">
        <is>
          <t>NTE200</t>
        </is>
      </c>
      <c r="D296" s="14" t="inlineStr">
        <is>
          <t>NTE</t>
        </is>
      </c>
      <c r="E296" s="14" t="inlineStr"/>
      <c r="F296" s="14" t="inlineStr"/>
      <c r="G296" s="14" t="inlineStr">
        <is>
          <t>план</t>
        </is>
      </c>
      <c r="H296" s="26" t="n">
        <v>46391</v>
      </c>
      <c r="I296" s="15">
        <f>IF(D296="TR100",$D$8,IF(H296&lt;$D$5,$D$6,$D$7))</f>
        <v>24</v>
      </c>
      <c r="J296" s="26">
        <f>EDATE(H296,I296)</f>
        <v>47122</v>
      </c>
    </row>
    <row r="297">
      <c r="A297" s="14" t="n">
        <v>287</v>
      </c>
      <c r="B297" s="18" t="inlineStr">
        <is>
          <t>Полюс Магадан</t>
        </is>
      </c>
      <c r="C297" s="14" t="inlineStr">
        <is>
          <t>NTE200</t>
        </is>
      </c>
      <c r="D297" s="14" t="inlineStr">
        <is>
          <t>NTE</t>
        </is>
      </c>
      <c r="E297" s="14" t="inlineStr"/>
      <c r="F297" s="14" t="inlineStr"/>
      <c r="G297" s="14" t="inlineStr">
        <is>
          <t>план</t>
        </is>
      </c>
      <c r="H297" s="26" t="n">
        <v>46397</v>
      </c>
      <c r="I297" s="15">
        <f>IF(D297="TR100",$D$8,IF(H297&lt;$D$5,$D$6,$D$7))</f>
        <v>24</v>
      </c>
      <c r="J297" s="26">
        <f>EDATE(H297,I297)</f>
        <v>47128</v>
      </c>
    </row>
    <row r="298">
      <c r="A298" s="14" t="n">
        <v>288</v>
      </c>
      <c r="B298" s="18" t="inlineStr">
        <is>
          <t>Полюс Магадан</t>
        </is>
      </c>
      <c r="C298" s="14" t="inlineStr">
        <is>
          <t>NTE200</t>
        </is>
      </c>
      <c r="D298" s="14" t="inlineStr">
        <is>
          <t>NTE</t>
        </is>
      </c>
      <c r="E298" s="14" t="inlineStr"/>
      <c r="F298" s="14" t="inlineStr"/>
      <c r="G298" s="14" t="inlineStr">
        <is>
          <t>план</t>
        </is>
      </c>
      <c r="H298" s="26" t="n">
        <v>46402</v>
      </c>
      <c r="I298" s="15">
        <f>IF(D298="TR100",$D$8,IF(H298&lt;$D$5,$D$6,$D$7))</f>
        <v>24</v>
      </c>
      <c r="J298" s="26">
        <f>EDATE(H298,I298)</f>
        <v>47133</v>
      </c>
    </row>
    <row r="299">
      <c r="A299" s="14" t="n">
        <v>289</v>
      </c>
      <c r="B299" s="18" t="inlineStr">
        <is>
          <t>Полюс Магадан</t>
        </is>
      </c>
      <c r="C299" s="14" t="inlineStr">
        <is>
          <t>NTE200</t>
        </is>
      </c>
      <c r="D299" s="14" t="inlineStr">
        <is>
          <t>NTE</t>
        </is>
      </c>
      <c r="E299" s="14" t="inlineStr"/>
      <c r="F299" s="14" t="inlineStr"/>
      <c r="G299" s="14" t="inlineStr">
        <is>
          <t>план</t>
        </is>
      </c>
      <c r="H299" s="26" t="n">
        <v>46417</v>
      </c>
      <c r="I299" s="15">
        <f>IF(D299="TR100",$D$8,IF(H299&lt;$D$5,$D$6,$D$7))</f>
        <v>24</v>
      </c>
      <c r="J299" s="26">
        <f>EDATE(H299,I299)</f>
        <v>47148</v>
      </c>
    </row>
    <row r="300">
      <c r="A300" s="14" t="n">
        <v>290</v>
      </c>
      <c r="B300" s="18" t="inlineStr">
        <is>
          <t>Полюс Магадан</t>
        </is>
      </c>
      <c r="C300" s="14" t="inlineStr">
        <is>
          <t>NTE200</t>
        </is>
      </c>
      <c r="D300" s="14" t="inlineStr">
        <is>
          <t>NTE</t>
        </is>
      </c>
      <c r="E300" s="14" t="inlineStr"/>
      <c r="F300" s="14" t="inlineStr"/>
      <c r="G300" s="14" t="inlineStr">
        <is>
          <t>план</t>
        </is>
      </c>
      <c r="H300" s="26" t="n">
        <v>46422</v>
      </c>
      <c r="I300" s="15">
        <f>IF(D300="TR100",$D$8,IF(H300&lt;$D$5,$D$6,$D$7))</f>
        <v>24</v>
      </c>
      <c r="J300" s="26">
        <f>EDATE(H300,I300)</f>
        <v>47153</v>
      </c>
    </row>
    <row r="301">
      <c r="A301" s="14" t="n">
        <v>291</v>
      </c>
      <c r="B301" s="18" t="inlineStr">
        <is>
          <t>Полюс Магадан</t>
        </is>
      </c>
      <c r="C301" s="14" t="inlineStr">
        <is>
          <t>NTE200</t>
        </is>
      </c>
      <c r="D301" s="14" t="inlineStr">
        <is>
          <t>NTE</t>
        </is>
      </c>
      <c r="E301" s="14" t="inlineStr"/>
      <c r="F301" s="14" t="inlineStr"/>
      <c r="G301" s="14" t="inlineStr">
        <is>
          <t>план</t>
        </is>
      </c>
      <c r="H301" s="26" t="n">
        <v>46433</v>
      </c>
      <c r="I301" s="15">
        <f>IF(D301="TR100",$D$8,IF(H301&lt;$D$5,$D$6,$D$7))</f>
        <v>24</v>
      </c>
      <c r="J301" s="26">
        <f>EDATE(H301,I301)</f>
        <v>47164</v>
      </c>
    </row>
    <row r="302">
      <c r="A302" s="14" t="n">
        <v>292</v>
      </c>
      <c r="B302" s="18" t="inlineStr">
        <is>
          <t>Полюс Магадан</t>
        </is>
      </c>
      <c r="C302" s="14" t="inlineStr">
        <is>
          <t>NTE200</t>
        </is>
      </c>
      <c r="D302" s="14" t="inlineStr">
        <is>
          <t>NTE</t>
        </is>
      </c>
      <c r="E302" s="14" t="inlineStr"/>
      <c r="F302" s="14" t="inlineStr"/>
      <c r="G302" s="14" t="inlineStr">
        <is>
          <t>план</t>
        </is>
      </c>
      <c r="H302" s="26" t="n">
        <v>46446</v>
      </c>
      <c r="I302" s="15">
        <f>IF(D302="TR100",$D$8,IF(H302&lt;$D$5,$D$6,$D$7))</f>
        <v>24</v>
      </c>
      <c r="J302" s="26">
        <f>EDATE(H302,I302)</f>
        <v>47177</v>
      </c>
    </row>
    <row r="303">
      <c r="A303" s="14" t="n">
        <v>293</v>
      </c>
      <c r="B303" s="18" t="inlineStr">
        <is>
          <t>Полюс Магадан</t>
        </is>
      </c>
      <c r="C303" s="14" t="inlineStr">
        <is>
          <t>NTE200</t>
        </is>
      </c>
      <c r="D303" s="14" t="inlineStr">
        <is>
          <t>NTE</t>
        </is>
      </c>
      <c r="E303" s="14" t="inlineStr"/>
      <c r="F303" s="14" t="inlineStr"/>
      <c r="G303" s="14" t="inlineStr">
        <is>
          <t>план</t>
        </is>
      </c>
      <c r="H303" s="26" t="n">
        <v>46600</v>
      </c>
      <c r="I303" s="15">
        <f>IF(D303="TR100",$D$8,IF(H303&lt;$D$5,$D$6,$D$7))</f>
        <v>24</v>
      </c>
      <c r="J303" s="26">
        <f>EDATE(H303,I303)</f>
        <v>47331</v>
      </c>
    </row>
    <row r="304">
      <c r="A304" s="14" t="n">
        <v>294</v>
      </c>
      <c r="B304" s="18" t="inlineStr">
        <is>
          <t>Полюс Магадан</t>
        </is>
      </c>
      <c r="C304" s="14" t="inlineStr">
        <is>
          <t>TR100</t>
        </is>
      </c>
      <c r="D304" s="14" t="inlineStr">
        <is>
          <t>TR100</t>
        </is>
      </c>
      <c r="E304" s="14" t="inlineStr">
        <is>
          <t>NHLT3AAALSB2A0476</t>
        </is>
      </c>
      <c r="F304" s="14" t="inlineStr">
        <is>
          <t>90</t>
        </is>
      </c>
      <c r="G304" s="14" t="inlineStr">
        <is>
          <t>факт</t>
        </is>
      </c>
      <c r="H304" s="26" t="n">
        <v>46105</v>
      </c>
      <c r="I304" s="15">
        <f>IF(D304="TR100",$D$8,IF(H304&lt;$D$5,$D$6,$D$7))</f>
        <v>24</v>
      </c>
      <c r="J304" s="26">
        <f>EDATE(H304,I304)</f>
        <v>46836</v>
      </c>
    </row>
    <row r="305">
      <c r="A305" s="14" t="n">
        <v>295</v>
      </c>
      <c r="B305" s="18" t="inlineStr">
        <is>
          <t>Полюс Магадан</t>
        </is>
      </c>
      <c r="C305" s="14" t="inlineStr">
        <is>
          <t>TR100</t>
        </is>
      </c>
      <c r="D305" s="14" t="inlineStr">
        <is>
          <t>TR100</t>
        </is>
      </c>
      <c r="E305" s="14" t="inlineStr">
        <is>
          <t>NHLT3AAAHSB2A0480</t>
        </is>
      </c>
      <c r="F305" s="14" t="inlineStr">
        <is>
          <t>91</t>
        </is>
      </c>
      <c r="G305" s="14" t="inlineStr">
        <is>
          <t>факт</t>
        </is>
      </c>
      <c r="H305" s="26" t="n">
        <v>46107</v>
      </c>
      <c r="I305" s="15">
        <f>IF(D305="TR100",$D$8,IF(H305&lt;$D$5,$D$6,$D$7))</f>
        <v>24</v>
      </c>
      <c r="J305" s="26">
        <f>EDATE(H305,I305)</f>
        <v>46838</v>
      </c>
    </row>
    <row r="306">
      <c r="A306" s="14" t="n">
        <v>296</v>
      </c>
      <c r="B306" s="18" t="inlineStr">
        <is>
          <t>Полюс Магадан</t>
        </is>
      </c>
      <c r="C306" s="14" t="inlineStr">
        <is>
          <t>TR100</t>
        </is>
      </c>
      <c r="D306" s="14" t="inlineStr">
        <is>
          <t>TR100</t>
        </is>
      </c>
      <c r="E306" s="14" t="inlineStr">
        <is>
          <t>NHLT3AAAESB2A0478</t>
        </is>
      </c>
      <c r="F306" s="14" t="inlineStr">
        <is>
          <t>92</t>
        </is>
      </c>
      <c r="G306" s="14" t="inlineStr">
        <is>
          <t>факт</t>
        </is>
      </c>
      <c r="H306" s="26" t="n">
        <v>46113</v>
      </c>
      <c r="I306" s="15">
        <f>IF(D306="TR100",$D$8,IF(H306&lt;$D$5,$D$6,$D$7))</f>
        <v>24</v>
      </c>
      <c r="J306" s="26">
        <f>EDATE(H306,I306)</f>
        <v>46844</v>
      </c>
    </row>
    <row r="307">
      <c r="A307" s="14" t="n">
        <v>297</v>
      </c>
      <c r="B307" s="18" t="inlineStr">
        <is>
          <t>Полюс Магадан</t>
        </is>
      </c>
      <c r="C307" s="14" t="inlineStr">
        <is>
          <t>TR100</t>
        </is>
      </c>
      <c r="D307" s="14" t="inlineStr">
        <is>
          <t>TR100</t>
        </is>
      </c>
      <c r="E307" s="14" t="inlineStr"/>
      <c r="F307" s="14" t="inlineStr"/>
      <c r="G307" s="14" t="inlineStr">
        <is>
          <t>план</t>
        </is>
      </c>
      <c r="H307" s="26" t="n">
        <v>46296</v>
      </c>
      <c r="I307" s="15">
        <f>IF(D307="TR100",$D$8,IF(H307&lt;$D$5,$D$6,$D$7))</f>
        <v>24</v>
      </c>
      <c r="J307" s="26">
        <f>EDATE(H307,I307)</f>
        <v>47027</v>
      </c>
    </row>
    <row r="308">
      <c r="A308" s="14" t="n">
        <v>298</v>
      </c>
      <c r="B308" s="18" t="inlineStr">
        <is>
          <t>Полюс Магадан</t>
        </is>
      </c>
      <c r="C308" s="14" t="inlineStr">
        <is>
          <t>TR100</t>
        </is>
      </c>
      <c r="D308" s="14" t="inlineStr">
        <is>
          <t>TR100</t>
        </is>
      </c>
      <c r="E308" s="14" t="inlineStr"/>
      <c r="F308" s="14" t="inlineStr"/>
      <c r="G308" s="14" t="inlineStr">
        <is>
          <t>план</t>
        </is>
      </c>
      <c r="H308" s="26" t="n">
        <v>46305</v>
      </c>
      <c r="I308" s="15">
        <f>IF(D308="TR100",$D$8,IF(H308&lt;$D$5,$D$6,$D$7))</f>
        <v>24</v>
      </c>
      <c r="J308" s="26">
        <f>EDATE(H308,I308)</f>
        <v>47036</v>
      </c>
    </row>
    <row r="309">
      <c r="A309" s="14" t="n">
        <v>299</v>
      </c>
      <c r="B309" s="18" t="inlineStr">
        <is>
          <t>Полюс Магадан</t>
        </is>
      </c>
      <c r="C309" s="14" t="inlineStr">
        <is>
          <t>TR100</t>
        </is>
      </c>
      <c r="D309" s="14" t="inlineStr">
        <is>
          <t>TR100</t>
        </is>
      </c>
      <c r="E309" s="14" t="inlineStr"/>
      <c r="F309" s="14" t="inlineStr"/>
      <c r="G309" s="14" t="inlineStr">
        <is>
          <t>план</t>
        </is>
      </c>
      <c r="H309" s="26" t="n">
        <v>46315</v>
      </c>
      <c r="I309" s="15">
        <f>IF(D309="TR100",$D$8,IF(H309&lt;$D$5,$D$6,$D$7))</f>
        <v>24</v>
      </c>
      <c r="J309" s="26">
        <f>EDATE(H309,I309)</f>
        <v>47046</v>
      </c>
    </row>
    <row r="310">
      <c r="A310" s="14" t="n">
        <v>300</v>
      </c>
      <c r="B310" s="18" t="inlineStr">
        <is>
          <t>Полюс Магадан</t>
        </is>
      </c>
      <c r="C310" s="14" t="inlineStr">
        <is>
          <t>TR100</t>
        </is>
      </c>
      <c r="D310" s="14" t="inlineStr">
        <is>
          <t>TR100</t>
        </is>
      </c>
      <c r="E310" s="14" t="inlineStr"/>
      <c r="F310" s="14" t="inlineStr"/>
      <c r="G310" s="14" t="inlineStr">
        <is>
          <t>план</t>
        </is>
      </c>
      <c r="H310" s="26" t="n">
        <v>46325</v>
      </c>
      <c r="I310" s="15">
        <f>IF(D310="TR100",$D$8,IF(H310&lt;$D$5,$D$6,$D$7))</f>
        <v>24</v>
      </c>
      <c r="J310" s="26">
        <f>EDATE(H310,I310)</f>
        <v>47056</v>
      </c>
    </row>
    <row r="311">
      <c r="A311" s="14" t="n">
        <v>301</v>
      </c>
      <c r="B311" s="19" t="inlineStr">
        <is>
          <t>Полюс Алдан</t>
        </is>
      </c>
      <c r="C311" s="14" t="inlineStr">
        <is>
          <t>TR100</t>
        </is>
      </c>
      <c r="D311" s="14" t="inlineStr">
        <is>
          <t>TR100</t>
        </is>
      </c>
      <c r="E311" s="14" t="inlineStr">
        <is>
          <t>NHLT3AAACPB2A0330</t>
        </is>
      </c>
      <c r="F311" s="14" t="inlineStr">
        <is>
          <t>800</t>
        </is>
      </c>
      <c r="G311" s="14" t="inlineStr">
        <is>
          <t>факт</t>
        </is>
      </c>
      <c r="H311" s="26" t="n">
        <v>45345</v>
      </c>
      <c r="I311" s="15">
        <f>IF(D311="TR100",$D$8,IF(H311&lt;$D$5,$D$6,$D$7))</f>
        <v>24</v>
      </c>
      <c r="J311" s="26">
        <f>EDATE(H311,I311)</f>
        <v>46076</v>
      </c>
    </row>
    <row r="312">
      <c r="A312" s="14" t="n">
        <v>302</v>
      </c>
      <c r="B312" s="19" t="inlineStr">
        <is>
          <t>Полюс Алдан</t>
        </is>
      </c>
      <c r="C312" s="14" t="inlineStr">
        <is>
          <t>TR100</t>
        </is>
      </c>
      <c r="D312" s="14" t="inlineStr">
        <is>
          <t>TR100</t>
        </is>
      </c>
      <c r="E312" s="14" t="inlineStr">
        <is>
          <t>NHLT3AAACSB2A0411</t>
        </is>
      </c>
      <c r="F312" s="14" t="inlineStr">
        <is>
          <t>801</t>
        </is>
      </c>
      <c r="G312" s="14" t="inlineStr">
        <is>
          <t>факт</t>
        </is>
      </c>
      <c r="H312" s="26" t="n">
        <v>45730</v>
      </c>
      <c r="I312" s="15">
        <f>IF(D312="TR100",$D$8,IF(H312&lt;$D$5,$D$6,$D$7))</f>
        <v>24</v>
      </c>
      <c r="J312" s="26">
        <f>EDATE(H312,I312)</f>
        <v>46460</v>
      </c>
    </row>
    <row r="313">
      <c r="A313" s="14" t="n">
        <v>303</v>
      </c>
      <c r="B313" s="19" t="inlineStr">
        <is>
          <t>Полюс Алдан</t>
        </is>
      </c>
      <c r="C313" s="14" t="inlineStr">
        <is>
          <t>TR100</t>
        </is>
      </c>
      <c r="D313" s="14" t="inlineStr">
        <is>
          <t>TR100</t>
        </is>
      </c>
      <c r="E313" s="14" t="inlineStr">
        <is>
          <t>NHLT3AAAPSB2A0419</t>
        </is>
      </c>
      <c r="F313" s="14" t="inlineStr">
        <is>
          <t>802</t>
        </is>
      </c>
      <c r="G313" s="14" t="inlineStr">
        <is>
          <t>факт</t>
        </is>
      </c>
      <c r="H313" s="26" t="n">
        <v>45731</v>
      </c>
      <c r="I313" s="15">
        <f>IF(D313="TR100",$D$8,IF(H313&lt;$D$5,$D$6,$D$7))</f>
        <v>24</v>
      </c>
      <c r="J313" s="26">
        <f>EDATE(H313,I313)</f>
        <v>46461</v>
      </c>
    </row>
    <row r="314">
      <c r="A314" s="14" t="n">
        <v>304</v>
      </c>
      <c r="B314" s="19" t="inlineStr">
        <is>
          <t>Полюс Алдан</t>
        </is>
      </c>
      <c r="C314" s="14" t="inlineStr">
        <is>
          <t>TR100</t>
        </is>
      </c>
      <c r="D314" s="14" t="inlineStr">
        <is>
          <t>TR100</t>
        </is>
      </c>
      <c r="E314" s="14" t="inlineStr">
        <is>
          <t>NHLT3AAAVSB2A0412</t>
        </is>
      </c>
      <c r="F314" s="14" t="inlineStr">
        <is>
          <t>803</t>
        </is>
      </c>
      <c r="G314" s="14" t="inlineStr">
        <is>
          <t>факт</t>
        </is>
      </c>
      <c r="H314" s="26" t="n">
        <v>45735</v>
      </c>
      <c r="I314" s="15">
        <f>IF(D314="TR100",$D$8,IF(H314&lt;$D$5,$D$6,$D$7))</f>
        <v>24</v>
      </c>
      <c r="J314" s="26">
        <f>EDATE(H314,I314)</f>
        <v>46465</v>
      </c>
    </row>
    <row r="315">
      <c r="A315" s="14" t="n">
        <v>305</v>
      </c>
      <c r="B315" s="19" t="inlineStr">
        <is>
          <t>Полюс Алдан</t>
        </is>
      </c>
      <c r="C315" s="14" t="inlineStr">
        <is>
          <t>TR100</t>
        </is>
      </c>
      <c r="D315" s="14" t="inlineStr">
        <is>
          <t>TR100</t>
        </is>
      </c>
      <c r="E315" s="14" t="inlineStr">
        <is>
          <t>NHLT3AAALSB2A0414</t>
        </is>
      </c>
      <c r="F315" s="14" t="inlineStr">
        <is>
          <t>804</t>
        </is>
      </c>
      <c r="G315" s="14" t="inlineStr">
        <is>
          <t>факт</t>
        </is>
      </c>
      <c r="H315" s="26" t="n">
        <v>45738</v>
      </c>
      <c r="I315" s="15">
        <f>IF(D315="TR100",$D$8,IF(H315&lt;$D$5,$D$6,$D$7))</f>
        <v>24</v>
      </c>
      <c r="J315" s="26">
        <f>EDATE(H315,I315)</f>
        <v>46468</v>
      </c>
    </row>
    <row r="316">
      <c r="A316" s="14" t="n">
        <v>306</v>
      </c>
      <c r="B316" s="19" t="inlineStr">
        <is>
          <t>Полюс Алдан</t>
        </is>
      </c>
      <c r="C316" s="14" t="inlineStr">
        <is>
          <t>TR100</t>
        </is>
      </c>
      <c r="D316" s="14" t="inlineStr">
        <is>
          <t>TR100</t>
        </is>
      </c>
      <c r="E316" s="14" t="inlineStr">
        <is>
          <t>NHLT3AAAESB2A0416</t>
        </is>
      </c>
      <c r="F316" s="14" t="inlineStr">
        <is>
          <t>805</t>
        </is>
      </c>
      <c r="G316" s="14" t="inlineStr">
        <is>
          <t>факт</t>
        </is>
      </c>
      <c r="H316" s="26" t="n">
        <v>45740</v>
      </c>
      <c r="I316" s="15">
        <f>IF(D316="TR100",$D$8,IF(H316&lt;$D$5,$D$6,$D$7))</f>
        <v>24</v>
      </c>
      <c r="J316" s="26">
        <f>EDATE(H316,I316)</f>
        <v>46470</v>
      </c>
    </row>
    <row r="317">
      <c r="A317" s="14" t="n">
        <v>307</v>
      </c>
      <c r="B317" s="19" t="inlineStr">
        <is>
          <t>Полюс Алдан</t>
        </is>
      </c>
      <c r="C317" s="14" t="inlineStr">
        <is>
          <t>TR100</t>
        </is>
      </c>
      <c r="D317" s="14" t="inlineStr">
        <is>
          <t>TR100</t>
        </is>
      </c>
      <c r="E317" s="14" t="inlineStr">
        <is>
          <t>NHLT3AAACSB2A0417</t>
        </is>
      </c>
      <c r="F317" s="14" t="inlineStr">
        <is>
          <t>806</t>
        </is>
      </c>
      <c r="G317" s="14" t="inlineStr">
        <is>
          <t>факт</t>
        </is>
      </c>
      <c r="H317" s="26" t="n">
        <v>45743</v>
      </c>
      <c r="I317" s="15">
        <f>IF(D317="TR100",$D$8,IF(H317&lt;$D$5,$D$6,$D$7))</f>
        <v>24</v>
      </c>
      <c r="J317" s="26">
        <f>EDATE(H317,I317)</f>
        <v>46473</v>
      </c>
    </row>
    <row r="318">
      <c r="A318" s="14" t="n">
        <v>308</v>
      </c>
      <c r="B318" s="19" t="inlineStr">
        <is>
          <t>Полюс Алдан</t>
        </is>
      </c>
      <c r="C318" s="14" t="inlineStr">
        <is>
          <t>TR100</t>
        </is>
      </c>
      <c r="D318" s="14" t="inlineStr">
        <is>
          <t>TR100</t>
        </is>
      </c>
      <c r="E318" s="14" t="inlineStr">
        <is>
          <t>NHLT3AAATSB2A0418</t>
        </is>
      </c>
      <c r="F318" s="14" t="inlineStr">
        <is>
          <t>807</t>
        </is>
      </c>
      <c r="G318" s="14" t="inlineStr">
        <is>
          <t>факт</t>
        </is>
      </c>
      <c r="H318" s="26" t="n">
        <v>45746</v>
      </c>
      <c r="I318" s="15">
        <f>IF(D318="TR100",$D$8,IF(H318&lt;$D$5,$D$6,$D$7))</f>
        <v>24</v>
      </c>
      <c r="J318" s="26">
        <f>EDATE(H318,I318)</f>
        <v>46476</v>
      </c>
    </row>
    <row r="319">
      <c r="A319" s="14" t="n">
        <v>309</v>
      </c>
      <c r="B319" s="19" t="inlineStr">
        <is>
          <t>Полюс Алдан</t>
        </is>
      </c>
      <c r="C319" s="14" t="inlineStr">
        <is>
          <t>TR100</t>
        </is>
      </c>
      <c r="D319" s="14" t="inlineStr">
        <is>
          <t>TR100</t>
        </is>
      </c>
      <c r="E319" s="14" t="inlineStr">
        <is>
          <t>NHLT3AAAHSB2A0415</t>
        </is>
      </c>
      <c r="F319" s="14" t="inlineStr">
        <is>
          <t>808</t>
        </is>
      </c>
      <c r="G319" s="14" t="inlineStr">
        <is>
          <t>факт</t>
        </is>
      </c>
      <c r="H319" s="26" t="n">
        <v>45749</v>
      </c>
      <c r="I319" s="15">
        <f>IF(D319="TR100",$D$8,IF(H319&lt;$D$5,$D$6,$D$7))</f>
        <v>24</v>
      </c>
      <c r="J319" s="26">
        <f>EDATE(H319,I319)</f>
        <v>46479</v>
      </c>
    </row>
    <row r="320">
      <c r="A320" s="14" t="n">
        <v>310</v>
      </c>
      <c r="B320" s="19" t="inlineStr">
        <is>
          <t>Полюс Алдан</t>
        </is>
      </c>
      <c r="C320" s="14" t="inlineStr">
        <is>
          <t>TR100</t>
        </is>
      </c>
      <c r="D320" s="14" t="inlineStr">
        <is>
          <t>TR100</t>
        </is>
      </c>
      <c r="E320" s="14" t="inlineStr">
        <is>
          <t>NHLT3AAAASB2A0413</t>
        </is>
      </c>
      <c r="F320" s="14" t="inlineStr">
        <is>
          <t>809</t>
        </is>
      </c>
      <c r="G320" s="14" t="inlineStr">
        <is>
          <t>факт</t>
        </is>
      </c>
      <c r="H320" s="26" t="n">
        <v>45752</v>
      </c>
      <c r="I320" s="15">
        <f>IF(D320="TR100",$D$8,IF(H320&lt;$D$5,$D$6,$D$7))</f>
        <v>24</v>
      </c>
      <c r="J320" s="26">
        <f>EDATE(H320,I320)</f>
        <v>46482</v>
      </c>
    </row>
    <row r="321">
      <c r="A321" s="14" t="n">
        <v>311</v>
      </c>
      <c r="B321" s="19" t="inlineStr">
        <is>
          <t>Полюс Алдан</t>
        </is>
      </c>
      <c r="C321" s="14" t="inlineStr">
        <is>
          <t>TR100</t>
        </is>
      </c>
      <c r="D321" s="14" t="inlineStr">
        <is>
          <t>TR100</t>
        </is>
      </c>
      <c r="E321" s="14" t="inlineStr">
        <is>
          <t>NHLT3AAACSB2A0420</t>
        </is>
      </c>
      <c r="F321" s="14" t="inlineStr">
        <is>
          <t>810</t>
        </is>
      </c>
      <c r="G321" s="14" t="inlineStr">
        <is>
          <t>факт</t>
        </is>
      </c>
      <c r="H321" s="26" t="n">
        <v>45755</v>
      </c>
      <c r="I321" s="15">
        <f>IF(D321="TR100",$D$8,IF(H321&lt;$D$5,$D$6,$D$7))</f>
        <v>24</v>
      </c>
      <c r="J321" s="26">
        <f>EDATE(H321,I321)</f>
        <v>46485</v>
      </c>
    </row>
    <row r="322">
      <c r="A322" s="14" t="n">
        <v>312</v>
      </c>
      <c r="B322" s="19" t="inlineStr">
        <is>
          <t>Полюс Алдан</t>
        </is>
      </c>
      <c r="C322" s="14" t="inlineStr">
        <is>
          <t>TR100</t>
        </is>
      </c>
      <c r="D322" s="14" t="inlineStr">
        <is>
          <t>TR100</t>
        </is>
      </c>
      <c r="E322" s="14" t="inlineStr">
        <is>
          <t>NHLT3AAAKSB2A0423</t>
        </is>
      </c>
      <c r="F322" s="14" t="inlineStr">
        <is>
          <t>811</t>
        </is>
      </c>
      <c r="G322" s="14" t="inlineStr">
        <is>
          <t>факт</t>
        </is>
      </c>
      <c r="H322" s="26" t="n">
        <v>45761</v>
      </c>
      <c r="I322" s="15">
        <f>IF(D322="TR100",$D$8,IF(H322&lt;$D$5,$D$6,$D$7))</f>
        <v>24</v>
      </c>
      <c r="J322" s="26">
        <f>EDATE(H322,I322)</f>
        <v>46491</v>
      </c>
    </row>
    <row r="323">
      <c r="A323" s="14" t="n">
        <v>313</v>
      </c>
      <c r="B323" s="19" t="inlineStr">
        <is>
          <t>Полюс Алдан</t>
        </is>
      </c>
      <c r="C323" s="14" t="inlineStr">
        <is>
          <t>TR100</t>
        </is>
      </c>
      <c r="D323" s="14" t="inlineStr">
        <is>
          <t>TR100</t>
        </is>
      </c>
      <c r="E323" s="14" t="inlineStr">
        <is>
          <t>NHLT3AAAJSB2A0424</t>
        </is>
      </c>
      <c r="F323" s="14" t="inlineStr">
        <is>
          <t>812</t>
        </is>
      </c>
      <c r="G323" s="14" t="inlineStr">
        <is>
          <t>факт</t>
        </is>
      </c>
      <c r="H323" s="26" t="n">
        <v>45763</v>
      </c>
      <c r="I323" s="15">
        <f>IF(D323="TR100",$D$8,IF(H323&lt;$D$5,$D$6,$D$7))</f>
        <v>24</v>
      </c>
      <c r="J323" s="26">
        <f>EDATE(H323,I323)</f>
        <v>46493</v>
      </c>
    </row>
    <row r="324">
      <c r="A324" s="14" t="n">
        <v>314</v>
      </c>
      <c r="B324" s="19" t="inlineStr">
        <is>
          <t>Полюс Алдан</t>
        </is>
      </c>
      <c r="C324" s="14" t="inlineStr">
        <is>
          <t>TR100</t>
        </is>
      </c>
      <c r="D324" s="14" t="inlineStr">
        <is>
          <t>TR100</t>
        </is>
      </c>
      <c r="E324" s="14" t="inlineStr">
        <is>
          <t>NHLT3AAAVSB2A0426</t>
        </is>
      </c>
      <c r="F324" s="14" t="inlineStr">
        <is>
          <t>813</t>
        </is>
      </c>
      <c r="G324" s="14" t="inlineStr">
        <is>
          <t>факт</t>
        </is>
      </c>
      <c r="H324" s="26" t="n">
        <v>45850</v>
      </c>
      <c r="I324" s="15">
        <f>IF(D324="TR100",$D$8,IF(H324&lt;$D$5,$D$6,$D$7))</f>
        <v>24</v>
      </c>
      <c r="J324" s="26">
        <f>EDATE(H324,I324)</f>
        <v>46580</v>
      </c>
    </row>
    <row r="325">
      <c r="A325" s="14" t="n">
        <v>315</v>
      </c>
      <c r="B325" s="19" t="inlineStr">
        <is>
          <t>Полюс Алдан</t>
        </is>
      </c>
      <c r="C325" s="14" t="inlineStr">
        <is>
          <t>TR100</t>
        </is>
      </c>
      <c r="D325" s="14" t="inlineStr">
        <is>
          <t>TR100</t>
        </is>
      </c>
      <c r="E325" s="14" t="inlineStr">
        <is>
          <t>NHLT3AAAPSB2A0422</t>
        </is>
      </c>
      <c r="F325" s="14" t="inlineStr">
        <is>
          <t>814</t>
        </is>
      </c>
      <c r="G325" s="14" t="inlineStr">
        <is>
          <t>факт</t>
        </is>
      </c>
      <c r="H325" s="26" t="n">
        <v>45850</v>
      </c>
      <c r="I325" s="15">
        <f>IF(D325="TR100",$D$8,IF(H325&lt;$D$5,$D$6,$D$7))</f>
        <v>24</v>
      </c>
      <c r="J325" s="26">
        <f>EDATE(H325,I325)</f>
        <v>46580</v>
      </c>
    </row>
    <row r="326">
      <c r="A326" s="14" t="n">
        <v>316</v>
      </c>
      <c r="B326" s="19" t="inlineStr">
        <is>
          <t>Полюс Алдан</t>
        </is>
      </c>
      <c r="C326" s="14" t="inlineStr">
        <is>
          <t>TR100</t>
        </is>
      </c>
      <c r="D326" s="14" t="inlineStr">
        <is>
          <t>TR100</t>
        </is>
      </c>
      <c r="E326" s="14" t="inlineStr">
        <is>
          <t>NHLT3AAАCSB2A0425</t>
        </is>
      </c>
      <c r="F326" s="14" t="inlineStr">
        <is>
          <t>815</t>
        </is>
      </c>
      <c r="G326" s="14" t="inlineStr">
        <is>
          <t>факт</t>
        </is>
      </c>
      <c r="H326" s="26" t="n">
        <v>45861</v>
      </c>
      <c r="I326" s="15">
        <f>IF(D326="TR100",$D$8,IF(H326&lt;$D$5,$D$6,$D$7))</f>
        <v>24</v>
      </c>
      <c r="J326" s="26">
        <f>EDATE(H326,I326)</f>
        <v>46591</v>
      </c>
    </row>
    <row r="327">
      <c r="A327" s="14" t="n">
        <v>317</v>
      </c>
      <c r="B327" s="19" t="inlineStr">
        <is>
          <t>Полюс Алдан</t>
        </is>
      </c>
      <c r="C327" s="14" t="inlineStr">
        <is>
          <t>TR100</t>
        </is>
      </c>
      <c r="D327" s="14" t="inlineStr">
        <is>
          <t>TR100</t>
        </is>
      </c>
      <c r="E327" s="14" t="inlineStr">
        <is>
          <t>NHLT3AAATSB2A0421</t>
        </is>
      </c>
      <c r="F327" s="14" t="inlineStr">
        <is>
          <t>816</t>
        </is>
      </c>
      <c r="G327" s="14" t="inlineStr">
        <is>
          <t>факт</t>
        </is>
      </c>
      <c r="H327" s="26" t="n">
        <v>45901</v>
      </c>
      <c r="I327" s="15">
        <f>IF(D327="TR100",$D$8,IF(H327&lt;$D$5,$D$6,$D$7))</f>
        <v>24</v>
      </c>
      <c r="J327" s="26">
        <f>EDATE(H327,I327)</f>
        <v>46631</v>
      </c>
    </row>
    <row r="328">
      <c r="A328" s="14" t="n">
        <v>318</v>
      </c>
      <c r="B328" s="19" t="inlineStr">
        <is>
          <t>Полюс Алдан</t>
        </is>
      </c>
      <c r="C328" s="14" t="inlineStr">
        <is>
          <t>TR100</t>
        </is>
      </c>
      <c r="D328" s="14" t="inlineStr">
        <is>
          <t>TR100</t>
        </is>
      </c>
      <c r="E328" s="14" t="inlineStr">
        <is>
          <t>NHLT3AAAKSB2A0471</t>
        </is>
      </c>
      <c r="F328" s="14" t="inlineStr">
        <is>
          <t>817</t>
        </is>
      </c>
      <c r="G328" s="14" t="inlineStr">
        <is>
          <t>факт</t>
        </is>
      </c>
      <c r="H328" s="26" t="n">
        <v>46036</v>
      </c>
      <c r="I328" s="15">
        <f>IF(D328="TR100",$D$8,IF(H328&lt;$D$5,$D$6,$D$7))</f>
        <v>24</v>
      </c>
      <c r="J328" s="26">
        <f>EDATE(H328,I328)</f>
        <v>46766</v>
      </c>
    </row>
    <row r="329">
      <c r="A329" s="14" t="n">
        <v>319</v>
      </c>
      <c r="B329" s="19" t="inlineStr">
        <is>
          <t>Полюс Алдан</t>
        </is>
      </c>
      <c r="C329" s="14" t="inlineStr">
        <is>
          <t>TR100</t>
        </is>
      </c>
      <c r="D329" s="14" t="inlineStr">
        <is>
          <t>TR100</t>
        </is>
      </c>
      <c r="E329" s="14" t="inlineStr">
        <is>
          <t>NHLT3AAAСSB2A0473</t>
        </is>
      </c>
      <c r="F329" s="14" t="inlineStr">
        <is>
          <t>818</t>
        </is>
      </c>
      <c r="G329" s="14" t="inlineStr">
        <is>
          <t>факт</t>
        </is>
      </c>
      <c r="H329" s="26" t="n">
        <v>46044</v>
      </c>
      <c r="I329" s="15">
        <f>IF(D329="TR100",$D$8,IF(H329&lt;$D$5,$D$6,$D$7))</f>
        <v>24</v>
      </c>
      <c r="J329" s="26">
        <f>EDATE(H329,I329)</f>
        <v>46774</v>
      </c>
    </row>
    <row r="330">
      <c r="A330" s="14" t="n">
        <v>320</v>
      </c>
      <c r="B330" s="19" t="inlineStr">
        <is>
          <t>Полюс Алдан</t>
        </is>
      </c>
      <c r="C330" s="14" t="inlineStr">
        <is>
          <t>TR100</t>
        </is>
      </c>
      <c r="D330" s="14" t="inlineStr">
        <is>
          <t>TR100</t>
        </is>
      </c>
      <c r="E330" s="14" t="inlineStr">
        <is>
          <t>NHLT3AAAHSB2A0477</t>
        </is>
      </c>
      <c r="F330" s="14" t="inlineStr">
        <is>
          <t>819</t>
        </is>
      </c>
      <c r="G330" s="14" t="inlineStr">
        <is>
          <t>факт</t>
        </is>
      </c>
      <c r="H330" s="26" t="n">
        <v>46055</v>
      </c>
      <c r="I330" s="15">
        <f>IF(D330="TR100",$D$8,IF(H330&lt;$D$5,$D$6,$D$7))</f>
        <v>24</v>
      </c>
      <c r="J330" s="26">
        <f>EDATE(H330,I330)</f>
        <v>46785</v>
      </c>
    </row>
    <row r="331">
      <c r="A331" s="14" t="n">
        <v>321</v>
      </c>
      <c r="B331" s="19" t="inlineStr">
        <is>
          <t>Полюс Алдан</t>
        </is>
      </c>
      <c r="C331" s="14" t="inlineStr">
        <is>
          <t>TR100</t>
        </is>
      </c>
      <c r="D331" s="14" t="inlineStr">
        <is>
          <t>TR100</t>
        </is>
      </c>
      <c r="E331" s="14" t="inlineStr">
        <is>
          <t>NHLT3AAAVSB2A0474</t>
        </is>
      </c>
      <c r="F331" s="14" t="inlineStr">
        <is>
          <t>820</t>
        </is>
      </c>
      <c r="G331" s="14" t="inlineStr">
        <is>
          <t>факт</t>
        </is>
      </c>
      <c r="H331" s="26" t="n">
        <v>46062</v>
      </c>
      <c r="I331" s="15">
        <f>IF(D331="TR100",$D$8,IF(H331&lt;$D$5,$D$6,$D$7))</f>
        <v>24</v>
      </c>
      <c r="J331" s="26">
        <f>EDATE(H331,I331)</f>
        <v>46792</v>
      </c>
    </row>
    <row r="332">
      <c r="A332" s="14" t="n">
        <v>322</v>
      </c>
      <c r="B332" s="19" t="inlineStr">
        <is>
          <t>Полюс Алдан</t>
        </is>
      </c>
      <c r="C332" s="14" t="inlineStr">
        <is>
          <t>TR100</t>
        </is>
      </c>
      <c r="D332" s="14" t="inlineStr">
        <is>
          <t>TR100</t>
        </is>
      </c>
      <c r="E332" s="14" t="inlineStr">
        <is>
          <t>NHLT3AAAJSB2A0472</t>
        </is>
      </c>
      <c r="F332" s="14" t="inlineStr">
        <is>
          <t>821</t>
        </is>
      </c>
      <c r="G332" s="14" t="inlineStr">
        <is>
          <t>факт</t>
        </is>
      </c>
      <c r="H332" s="26" t="n">
        <v>46067</v>
      </c>
      <c r="I332" s="15">
        <f>IF(D332="TR100",$D$8,IF(H332&lt;$D$5,$D$6,$D$7))</f>
        <v>24</v>
      </c>
      <c r="J332" s="26">
        <f>EDATE(H332,I332)</f>
        <v>46797</v>
      </c>
    </row>
    <row r="333">
      <c r="A333" s="14" t="n">
        <v>323</v>
      </c>
      <c r="B333" s="19" t="inlineStr">
        <is>
          <t>Полюс Алдан</t>
        </is>
      </c>
      <c r="C333" s="14" t="inlineStr">
        <is>
          <t>TR100</t>
        </is>
      </c>
      <c r="D333" s="14" t="inlineStr">
        <is>
          <t>TR100</t>
        </is>
      </c>
      <c r="E333" s="14" t="inlineStr">
        <is>
          <t>NHLT3AAAASB2A0475</t>
        </is>
      </c>
      <c r="F333" s="14" t="inlineStr">
        <is>
          <t>822</t>
        </is>
      </c>
      <c r="G333" s="14" t="inlineStr">
        <is>
          <t>факт</t>
        </is>
      </c>
      <c r="H333" s="26" t="n">
        <v>46084</v>
      </c>
      <c r="I333" s="15">
        <f>IF(D333="TR100",$D$8,IF(H333&lt;$D$5,$D$6,$D$7))</f>
        <v>24</v>
      </c>
      <c r="J333" s="26">
        <f>EDATE(H333,I333)</f>
        <v>46815</v>
      </c>
    </row>
    <row r="334">
      <c r="A334" s="14" t="n">
        <v>324</v>
      </c>
      <c r="B334" s="19" t="inlineStr">
        <is>
          <t>Полюс Алдан</t>
        </is>
      </c>
      <c r="C334" s="14" t="inlineStr">
        <is>
          <t>TR100</t>
        </is>
      </c>
      <c r="D334" s="14" t="inlineStr">
        <is>
          <t>TR100</t>
        </is>
      </c>
      <c r="E334" s="14" t="inlineStr"/>
      <c r="F334" s="14" t="inlineStr"/>
      <c r="G334" s="14" t="inlineStr">
        <is>
          <t>план</t>
        </is>
      </c>
      <c r="H334" s="26" t="n">
        <v>46397</v>
      </c>
      <c r="I334" s="15">
        <f>IF(D334="TR100",$D$8,IF(H334&lt;$D$5,$D$6,$D$7))</f>
        <v>24</v>
      </c>
      <c r="J334" s="26">
        <f>EDATE(H334,I334)</f>
        <v>47128</v>
      </c>
    </row>
    <row r="335">
      <c r="A335" s="14" t="n">
        <v>325</v>
      </c>
      <c r="B335" s="19" t="inlineStr">
        <is>
          <t>Полюс Алдан</t>
        </is>
      </c>
      <c r="C335" s="14" t="inlineStr">
        <is>
          <t>TR100</t>
        </is>
      </c>
      <c r="D335" s="14" t="inlineStr">
        <is>
          <t>TR100</t>
        </is>
      </c>
      <c r="E335" s="14" t="inlineStr"/>
      <c r="F335" s="14" t="inlineStr"/>
      <c r="G335" s="14" t="inlineStr">
        <is>
          <t>план</t>
        </is>
      </c>
      <c r="H335" s="26" t="n">
        <v>46407</v>
      </c>
      <c r="I335" s="15">
        <f>IF(D335="TR100",$D$8,IF(H335&lt;$D$5,$D$6,$D$7))</f>
        <v>24</v>
      </c>
      <c r="J335" s="26">
        <f>EDATE(H335,I335)</f>
        <v>47138</v>
      </c>
    </row>
    <row r="336">
      <c r="A336" s="14" t="n">
        <v>326</v>
      </c>
      <c r="B336" s="19" t="inlineStr">
        <is>
          <t>Полюс Алдан</t>
        </is>
      </c>
      <c r="C336" s="14" t="inlineStr">
        <is>
          <t>TR100</t>
        </is>
      </c>
      <c r="D336" s="14" t="inlineStr">
        <is>
          <t>TR100</t>
        </is>
      </c>
      <c r="E336" s="14" t="inlineStr"/>
      <c r="F336" s="14" t="inlineStr"/>
      <c r="G336" s="14" t="inlineStr">
        <is>
          <t>план</t>
        </is>
      </c>
      <c r="H336" s="26" t="n">
        <v>46419</v>
      </c>
      <c r="I336" s="15">
        <f>IF(D336="TR100",$D$8,IF(H336&lt;$D$5,$D$6,$D$7))</f>
        <v>24</v>
      </c>
      <c r="J336" s="26">
        <f>EDATE(H336,I336)</f>
        <v>47150</v>
      </c>
    </row>
    <row r="337">
      <c r="A337" s="14" t="n">
        <v>327</v>
      </c>
      <c r="B337" s="19" t="inlineStr">
        <is>
          <t>Полюс Алдан</t>
        </is>
      </c>
      <c r="C337" s="14" t="inlineStr">
        <is>
          <t>TR100</t>
        </is>
      </c>
      <c r="D337" s="14" t="inlineStr">
        <is>
          <t>TR100</t>
        </is>
      </c>
      <c r="E337" s="14" t="inlineStr"/>
      <c r="F337" s="14" t="inlineStr"/>
      <c r="G337" s="14" t="inlineStr">
        <is>
          <t>план</t>
        </is>
      </c>
      <c r="H337" s="26" t="n">
        <v>46428</v>
      </c>
      <c r="I337" s="15">
        <f>IF(D337="TR100",$D$8,IF(H337&lt;$D$5,$D$6,$D$7))</f>
        <v>24</v>
      </c>
      <c r="J337" s="26">
        <f>EDATE(H337,I337)</f>
        <v>47159</v>
      </c>
    </row>
    <row r="338">
      <c r="A338" s="14" t="n">
        <v>328</v>
      </c>
      <c r="B338" s="19" t="inlineStr">
        <is>
          <t>Полюс Алдан</t>
        </is>
      </c>
      <c r="C338" s="14" t="inlineStr">
        <is>
          <t>TR100</t>
        </is>
      </c>
      <c r="D338" s="14" t="inlineStr">
        <is>
          <t>TR100</t>
        </is>
      </c>
      <c r="E338" s="14" t="inlineStr"/>
      <c r="F338" s="14" t="inlineStr"/>
      <c r="G338" s="14" t="inlineStr">
        <is>
          <t>план</t>
        </is>
      </c>
      <c r="H338" s="26" t="n">
        <v>46438</v>
      </c>
      <c r="I338" s="15">
        <f>IF(D338="TR100",$D$8,IF(H338&lt;$D$5,$D$6,$D$7))</f>
        <v>24</v>
      </c>
      <c r="J338" s="26">
        <f>EDATE(H338,I338)</f>
        <v>47169</v>
      </c>
    </row>
    <row r="339">
      <c r="A339" s="14" t="n">
        <v>329</v>
      </c>
      <c r="B339" s="19" t="inlineStr">
        <is>
          <t>Полюс Алдан</t>
        </is>
      </c>
      <c r="C339" s="14" t="inlineStr">
        <is>
          <t>TR100</t>
        </is>
      </c>
      <c r="D339" s="14" t="inlineStr">
        <is>
          <t>TR100</t>
        </is>
      </c>
      <c r="E339" s="14" t="inlineStr"/>
      <c r="F339" s="14" t="inlineStr"/>
      <c r="G339" s="14" t="inlineStr">
        <is>
          <t>план</t>
        </is>
      </c>
      <c r="H339" s="26" t="n">
        <v>46446</v>
      </c>
      <c r="I339" s="15">
        <f>IF(D339="TR100",$D$8,IF(H339&lt;$D$5,$D$6,$D$7))</f>
        <v>24</v>
      </c>
      <c r="J339" s="26">
        <f>EDATE(H339,I339)</f>
        <v>47177</v>
      </c>
    </row>
    <row r="340">
      <c r="A340" s="14" t="n">
        <v>330</v>
      </c>
      <c r="B340" s="19" t="inlineStr">
        <is>
          <t>Полюс Алдан</t>
        </is>
      </c>
      <c r="C340" s="14" t="inlineStr">
        <is>
          <t>TR100</t>
        </is>
      </c>
      <c r="D340" s="14" t="inlineStr">
        <is>
          <t>TR100</t>
        </is>
      </c>
      <c r="E340" s="14" t="inlineStr"/>
      <c r="F340" s="14" t="inlineStr"/>
      <c r="G340" s="14" t="inlineStr">
        <is>
          <t>план</t>
        </is>
      </c>
      <c r="H340" s="26" t="n">
        <v>46482</v>
      </c>
      <c r="I340" s="15">
        <f>IF(D340="TR100",$D$8,IF(H340&lt;$D$5,$D$6,$D$7))</f>
        <v>24</v>
      </c>
      <c r="J340" s="26">
        <f>EDATE(H340,I340)</f>
        <v>47213</v>
      </c>
    </row>
    <row r="341">
      <c r="A341" s="14" t="n">
        <v>331</v>
      </c>
      <c r="B341" s="19" t="inlineStr">
        <is>
          <t>Полюс Алдан</t>
        </is>
      </c>
      <c r="C341" s="14" t="inlineStr">
        <is>
          <t>TR100</t>
        </is>
      </c>
      <c r="D341" s="14" t="inlineStr">
        <is>
          <t>TR100</t>
        </is>
      </c>
      <c r="E341" s="14" t="inlineStr"/>
      <c r="F341" s="14" t="inlineStr"/>
      <c r="G341" s="14" t="inlineStr">
        <is>
          <t>план</t>
        </is>
      </c>
      <c r="H341" s="26" t="n">
        <v>46492</v>
      </c>
      <c r="I341" s="15">
        <f>IF(D341="TR100",$D$8,IF(H341&lt;$D$5,$D$6,$D$7))</f>
        <v>24</v>
      </c>
      <c r="J341" s="26">
        <f>EDATE(H341,I341)</f>
        <v>47223</v>
      </c>
    </row>
    <row r="342">
      <c r="A342" s="14" t="n">
        <v>332</v>
      </c>
      <c r="B342" s="19" t="inlineStr">
        <is>
          <t>Полюс Алдан</t>
        </is>
      </c>
      <c r="C342" s="14" t="inlineStr">
        <is>
          <t>TR100</t>
        </is>
      </c>
      <c r="D342" s="14" t="inlineStr">
        <is>
          <t>TR100</t>
        </is>
      </c>
      <c r="E342" s="14" t="inlineStr"/>
      <c r="F342" s="14" t="inlineStr"/>
      <c r="G342" s="14" t="inlineStr">
        <is>
          <t>план</t>
        </is>
      </c>
      <c r="H342" s="26" t="n">
        <v>46497</v>
      </c>
      <c r="I342" s="15">
        <f>IF(D342="TR100",$D$8,IF(H342&lt;$D$5,$D$6,$D$7))</f>
        <v>24</v>
      </c>
      <c r="J342" s="26">
        <f>EDATE(H342,I342)</f>
        <v>47228</v>
      </c>
    </row>
    <row r="343">
      <c r="A343" s="14" t="n">
        <v>333</v>
      </c>
      <c r="B343" s="19" t="inlineStr">
        <is>
          <t>Полюс Алдан</t>
        </is>
      </c>
      <c r="C343" s="14" t="inlineStr">
        <is>
          <t>TR100</t>
        </is>
      </c>
      <c r="D343" s="14" t="inlineStr">
        <is>
          <t>TR100</t>
        </is>
      </c>
      <c r="E343" s="14" t="inlineStr"/>
      <c r="F343" s="14" t="inlineStr"/>
      <c r="G343" s="14" t="inlineStr">
        <is>
          <t>план</t>
        </is>
      </c>
      <c r="H343" s="26" t="n">
        <v>46502</v>
      </c>
      <c r="I343" s="15">
        <f>IF(D343="TR100",$D$8,IF(H343&lt;$D$5,$D$6,$D$7))</f>
        <v>24</v>
      </c>
      <c r="J343" s="26">
        <f>EDATE(H343,I343)</f>
        <v>47233</v>
      </c>
    </row>
    <row r="344">
      <c r="A344" s="14" t="n">
        <v>334</v>
      </c>
      <c r="B344" s="19" t="inlineStr">
        <is>
          <t>Полюс Алдан</t>
        </is>
      </c>
      <c r="C344" s="14" t="inlineStr">
        <is>
          <t>TR100</t>
        </is>
      </c>
      <c r="D344" s="14" t="inlineStr">
        <is>
          <t>TR100</t>
        </is>
      </c>
      <c r="E344" s="14" t="inlineStr"/>
      <c r="F344" s="14" t="inlineStr"/>
      <c r="G344" s="14" t="inlineStr">
        <is>
          <t>план</t>
        </is>
      </c>
      <c r="H344" s="26" t="n">
        <v>46512</v>
      </c>
      <c r="I344" s="15">
        <f>IF(D344="TR100",$D$8,IF(H344&lt;$D$5,$D$6,$D$7))</f>
        <v>24</v>
      </c>
      <c r="J344" s="26">
        <f>EDATE(H344,I344)</f>
        <v>47243</v>
      </c>
    </row>
    <row r="345">
      <c r="A345" s="14" t="n">
        <v>335</v>
      </c>
      <c r="B345" s="19" t="inlineStr">
        <is>
          <t>Полюс Алдан</t>
        </is>
      </c>
      <c r="C345" s="14" t="inlineStr">
        <is>
          <t>TR100</t>
        </is>
      </c>
      <c r="D345" s="14" t="inlineStr">
        <is>
          <t>TR100</t>
        </is>
      </c>
      <c r="E345" s="14" t="inlineStr"/>
      <c r="F345" s="14" t="inlineStr"/>
      <c r="G345" s="14" t="inlineStr">
        <is>
          <t>план</t>
        </is>
      </c>
      <c r="H345" s="26" t="n">
        <v>46522</v>
      </c>
      <c r="I345" s="15">
        <f>IF(D345="TR100",$D$8,IF(H345&lt;$D$5,$D$6,$D$7))</f>
        <v>24</v>
      </c>
      <c r="J345" s="26">
        <f>EDATE(H345,I345)</f>
        <v>47253</v>
      </c>
    </row>
    <row r="346">
      <c r="A346" s="14" t="n">
        <v>336</v>
      </c>
      <c r="B346" s="19" t="inlineStr">
        <is>
          <t>Полюс Алдан</t>
        </is>
      </c>
      <c r="C346" s="14" t="inlineStr">
        <is>
          <t>TR100</t>
        </is>
      </c>
      <c r="D346" s="14" t="inlineStr">
        <is>
          <t>TR100</t>
        </is>
      </c>
      <c r="E346" s="14" t="inlineStr"/>
      <c r="F346" s="14" t="inlineStr"/>
      <c r="G346" s="14" t="inlineStr">
        <is>
          <t>план</t>
        </is>
      </c>
      <c r="H346" s="26" t="n">
        <v>46527</v>
      </c>
      <c r="I346" s="15">
        <f>IF(D346="TR100",$D$8,IF(H346&lt;$D$5,$D$6,$D$7))</f>
        <v>24</v>
      </c>
      <c r="J346" s="26">
        <f>EDATE(H346,I346)</f>
        <v>47258</v>
      </c>
    </row>
    <row r="347">
      <c r="A347" s="9" t="inlineStr">
        <is>
          <t>ИТОГО</t>
        </is>
      </c>
      <c r="B347" s="9" t="inlineStr">
        <is>
          <t>машин всего</t>
        </is>
      </c>
      <c r="C347" s="10" t="n"/>
      <c r="D347" s="10" t="n"/>
      <c r="E347" s="10" t="n"/>
      <c r="F347" s="27">
        <f>COUNTA(E11:E346)</f>
        <v>336</v>
      </c>
      <c r="G347" s="10" t="n"/>
      <c r="H347" s="10" t="n"/>
      <c r="I347" s="10" t="n"/>
      <c r="J347" s="10" t="n"/>
    </row>
  </sheetData>
  <mergeCells count="7">
    <mergeCell ref="A1:J1"/>
    <mergeCell ref="A5:C5"/>
    <mergeCell ref="A4:D4"/>
    <mergeCell ref="A8:C8"/>
    <mergeCell ref="A6:C6"/>
    <mergeCell ref="A2:J2"/>
    <mergeCell ref="A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9" customWidth="1" min="10" max="10"/>
  </cols>
  <sheetData>
    <row r="1" ht="24" customHeight="1">
      <c r="A1" s="1" t="inlineStr">
        <is>
          <t>САМОСВАЛЫ НА ГАРАНТИИ ПО МЕСЯЦАМ — ПО ПЛОЩАДКАМ И МОДЕЛЯМ</t>
        </is>
      </c>
    </row>
    <row r="2" ht="30" customHeight="1">
      <c r="A2" s="20" t="inlineStr">
        <is>
          <t>Кол-во самосвалов, находящихся на гарантии в каждом месяце (введён ≤ конца месяца и гарантия не истекла до начала месяца), по каждой комбинации «площадка × модель».</t>
        </is>
      </c>
    </row>
    <row r="4" ht="40" customHeight="1">
      <c r="A4" s="25" t="inlineStr">
        <is>
          <t>Месяц</t>
        </is>
      </c>
      <c r="B4" s="25" t="inlineStr">
        <is>
          <t>Год</t>
        </is>
      </c>
      <c r="C4" s="28" t="inlineStr">
        <is>
          <t>Красноярск
NTE240</t>
        </is>
      </c>
      <c r="D4" s="29" t="inlineStr">
        <is>
          <t>Красноярск
TR100</t>
        </is>
      </c>
      <c r="E4" s="28" t="inlineStr">
        <is>
          <t>Сухой Лог
NTE240</t>
        </is>
      </c>
      <c r="F4" s="29" t="inlineStr">
        <is>
          <t>Сухой Лог
TR100</t>
        </is>
      </c>
      <c r="G4" s="28" t="inlineStr">
        <is>
          <t>Магадан
NTE200</t>
        </is>
      </c>
      <c r="H4" s="29" t="inlineStr">
        <is>
          <t>Магадан
TR100</t>
        </is>
      </c>
      <c r="I4" s="29" t="inlineStr">
        <is>
          <t>Алдан
TR100</t>
        </is>
      </c>
      <c r="J4" s="30" t="inlineStr">
        <is>
          <t>ВСЕГО</t>
        </is>
      </c>
    </row>
    <row r="5">
      <c r="A5" s="31" t="n">
        <v>45323</v>
      </c>
      <c r="B5" s="32">
        <f>YEAR(A5)</f>
        <v>2024</v>
      </c>
      <c r="C5" s="32">
        <f>SUMPRODUCT(('Парк (SAP)'!$B$11:$B$346="Полюс Красноярск")*('Парк (SAP)'!$D$11:$D$346="NTE")*('Парк (SAP)'!$H$11:$H$346&lt;=EOMONTH(A5,0))*('Парк (SAP)'!$J$11:$J$346&gt;=A5))</f>
        <v>2</v>
      </c>
      <c r="D5" s="32">
        <f>SUMPRODUCT(('Парк (SAP)'!$B$11:$B$346="Полюс Красноярск")*('Парк (SAP)'!$D$11:$D$346="TR100")*('Парк (SAP)'!$H$11:$H$346&lt;=EOMONTH(A5,0))*('Парк (SAP)'!$J$11:$J$346&gt;=A5))</f>
        <v>0</v>
      </c>
      <c r="E5" s="32">
        <f>SUMPRODUCT(('Парк (SAP)'!$B$11:$B$346="Полюс Сухой Лог")*('Парк (SAP)'!$D$11:$D$346="NTE")*('Парк (SAP)'!$H$11:$H$346&lt;=EOMONTH(A5,0))*('Парк (SAP)'!$J$11:$J$346&gt;=A5))</f>
        <v>0</v>
      </c>
      <c r="F5" s="32">
        <f>SUMPRODUCT(('Парк (SAP)'!$B$11:$B$346="Полюс Сухой Лог")*('Парк (SAP)'!$D$11:$D$346="TR100")*('Парк (SAP)'!$H$11:$H$346&lt;=EOMONTH(A5,0))*('Парк (SAP)'!$J$11:$J$346&gt;=A5))</f>
        <v>0</v>
      </c>
      <c r="G5" s="32">
        <f>SUMPRODUCT(('Парк (SAP)'!$B$11:$B$346="Полюс Магадан")*('Парк (SAP)'!$D$11:$D$346="NTE")*('Парк (SAP)'!$H$11:$H$346&lt;=EOMONTH(A5,0))*('Парк (SAP)'!$J$11:$J$346&gt;=A5))</f>
        <v>6</v>
      </c>
      <c r="H5" s="32">
        <f>SUMPRODUCT(('Парк (SAP)'!$B$11:$B$346="Полюс Магадан")*('Парк (SAP)'!$D$11:$D$346="TR100")*('Парк (SAP)'!$H$11:$H$346&lt;=EOMONTH(A5,0))*('Парк (SAP)'!$J$11:$J$346&gt;=A5))</f>
        <v>0</v>
      </c>
      <c r="I5" s="32">
        <f>SUMPRODUCT(('Парк (SAP)'!$B$11:$B$346="Полюс Алдан")*('Парк (SAP)'!$D$11:$D$346="TR100")*('Парк (SAP)'!$H$11:$H$346&lt;=EOMONTH(A5,0))*('Парк (SAP)'!$J$11:$J$346&gt;=A5))</f>
        <v>1</v>
      </c>
      <c r="J5" s="33">
        <f>SUM(C5:I5)</f>
        <v>9</v>
      </c>
    </row>
    <row r="6">
      <c r="A6" s="31" t="n">
        <v>45352</v>
      </c>
      <c r="B6" s="32">
        <f>YEAR(A6)</f>
        <v>2024</v>
      </c>
      <c r="C6" s="32">
        <f>SUMPRODUCT(('Парк (SAP)'!$B$11:$B$346="Полюс Красноярск")*('Парк (SAP)'!$D$11:$D$346="NTE")*('Парк (SAP)'!$H$11:$H$346&lt;=EOMONTH(A6,0))*('Парк (SAP)'!$J$11:$J$346&gt;=A6))</f>
        <v>7</v>
      </c>
      <c r="D6" s="32">
        <f>SUMPRODUCT(('Парк (SAP)'!$B$11:$B$346="Полюс Красноярск")*('Парк (SAP)'!$D$11:$D$346="TR100")*('Парк (SAP)'!$H$11:$H$346&lt;=EOMONTH(A6,0))*('Парк (SAP)'!$J$11:$J$346&gt;=A6))</f>
        <v>0</v>
      </c>
      <c r="E6" s="32">
        <f>SUMPRODUCT(('Парк (SAP)'!$B$11:$B$346="Полюс Сухой Лог")*('Парк (SAP)'!$D$11:$D$346="NTE")*('Парк (SAP)'!$H$11:$H$346&lt;=EOMONTH(A6,0))*('Парк (SAP)'!$J$11:$J$346&gt;=A6))</f>
        <v>0</v>
      </c>
      <c r="F6" s="32">
        <f>SUMPRODUCT(('Парк (SAP)'!$B$11:$B$346="Полюс Сухой Лог")*('Парк (SAP)'!$D$11:$D$346="TR100")*('Парк (SAP)'!$H$11:$H$346&lt;=EOMONTH(A6,0))*('Парк (SAP)'!$J$11:$J$346&gt;=A6))</f>
        <v>0</v>
      </c>
      <c r="G6" s="32">
        <f>SUMPRODUCT(('Парк (SAP)'!$B$11:$B$346="Полюс Магадан")*('Парк (SAP)'!$D$11:$D$346="NTE")*('Парк (SAP)'!$H$11:$H$346&lt;=EOMONTH(A6,0))*('Парк (SAP)'!$J$11:$J$346&gt;=A6))</f>
        <v>11</v>
      </c>
      <c r="H6" s="32">
        <f>SUMPRODUCT(('Парк (SAP)'!$B$11:$B$346="Полюс Магадан")*('Парк (SAP)'!$D$11:$D$346="TR100")*('Парк (SAP)'!$H$11:$H$346&lt;=EOMONTH(A6,0))*('Парк (SAP)'!$J$11:$J$346&gt;=A6))</f>
        <v>0</v>
      </c>
      <c r="I6" s="32">
        <f>SUMPRODUCT(('Парк (SAP)'!$B$11:$B$346="Полюс Алдан")*('Парк (SAP)'!$D$11:$D$346="TR100")*('Парк (SAP)'!$H$11:$H$346&lt;=EOMONTH(A6,0))*('Парк (SAP)'!$J$11:$J$346&gt;=A6))</f>
        <v>1</v>
      </c>
      <c r="J6" s="33">
        <f>SUM(C6:I6)</f>
        <v>19</v>
      </c>
    </row>
    <row r="7">
      <c r="A7" s="31" t="n">
        <v>45383</v>
      </c>
      <c r="B7" s="32">
        <f>YEAR(A7)</f>
        <v>2024</v>
      </c>
      <c r="C7" s="32">
        <f>SUMPRODUCT(('Парк (SAP)'!$B$11:$B$346="Полюс Красноярск")*('Парк (SAP)'!$D$11:$D$346="NTE")*('Парк (SAP)'!$H$11:$H$346&lt;=EOMONTH(A7,0))*('Парк (SAP)'!$J$11:$J$346&gt;=A7))</f>
        <v>12</v>
      </c>
      <c r="D7" s="32">
        <f>SUMPRODUCT(('Парк (SAP)'!$B$11:$B$346="Полюс Красноярск")*('Парк (SAP)'!$D$11:$D$346="TR100")*('Парк (SAP)'!$H$11:$H$346&lt;=EOMONTH(A7,0))*('Парк (SAP)'!$J$11:$J$346&gt;=A7))</f>
        <v>0</v>
      </c>
      <c r="E7" s="32">
        <f>SUMPRODUCT(('Парк (SAP)'!$B$11:$B$346="Полюс Сухой Лог")*('Парк (SAP)'!$D$11:$D$346="NTE")*('Парк (SAP)'!$H$11:$H$346&lt;=EOMONTH(A7,0))*('Парк (SAP)'!$J$11:$J$346&gt;=A7))</f>
        <v>0</v>
      </c>
      <c r="F7" s="32">
        <f>SUMPRODUCT(('Парк (SAP)'!$B$11:$B$346="Полюс Сухой Лог")*('Парк (SAP)'!$D$11:$D$346="TR100")*('Парк (SAP)'!$H$11:$H$346&lt;=EOMONTH(A7,0))*('Парк (SAP)'!$J$11:$J$346&gt;=A7))</f>
        <v>0</v>
      </c>
      <c r="G7" s="32">
        <f>SUMPRODUCT(('Парк (SAP)'!$B$11:$B$346="Полюс Магадан")*('Парк (SAP)'!$D$11:$D$346="NTE")*('Парк (SAP)'!$H$11:$H$346&lt;=EOMONTH(A7,0))*('Парк (SAP)'!$J$11:$J$346&gt;=A7))</f>
        <v>16</v>
      </c>
      <c r="H7" s="32">
        <f>SUMPRODUCT(('Парк (SAP)'!$B$11:$B$346="Полюс Магадан")*('Парк (SAP)'!$D$11:$D$346="TR100")*('Парк (SAP)'!$H$11:$H$346&lt;=EOMONTH(A7,0))*('Парк (SAP)'!$J$11:$J$346&gt;=A7))</f>
        <v>0</v>
      </c>
      <c r="I7" s="32">
        <f>SUMPRODUCT(('Парк (SAP)'!$B$11:$B$346="Полюс Алдан")*('Парк (SAP)'!$D$11:$D$346="TR100")*('Парк (SAP)'!$H$11:$H$346&lt;=EOMONTH(A7,0))*('Парк (SAP)'!$J$11:$J$346&gt;=A7))</f>
        <v>1</v>
      </c>
      <c r="J7" s="33">
        <f>SUM(C7:I7)</f>
        <v>29</v>
      </c>
    </row>
    <row r="8">
      <c r="A8" s="31" t="n">
        <v>45413</v>
      </c>
      <c r="B8" s="32">
        <f>YEAR(A8)</f>
        <v>2024</v>
      </c>
      <c r="C8" s="32">
        <f>SUMPRODUCT(('Парк (SAP)'!$B$11:$B$346="Полюс Красноярск")*('Парк (SAP)'!$D$11:$D$346="NTE")*('Парк (SAP)'!$H$11:$H$346&lt;=EOMONTH(A8,0))*('Парк (SAP)'!$J$11:$J$346&gt;=A8))</f>
        <v>17</v>
      </c>
      <c r="D8" s="32">
        <f>SUMPRODUCT(('Парк (SAP)'!$B$11:$B$346="Полюс Красноярск")*('Парк (SAP)'!$D$11:$D$346="TR100")*('Парк (SAP)'!$H$11:$H$346&lt;=EOMONTH(A8,0))*('Парк (SAP)'!$J$11:$J$346&gt;=A8))</f>
        <v>0</v>
      </c>
      <c r="E8" s="32">
        <f>SUMPRODUCT(('Парк (SAP)'!$B$11:$B$346="Полюс Сухой Лог")*('Парк (SAP)'!$D$11:$D$346="NTE")*('Парк (SAP)'!$H$11:$H$346&lt;=EOMONTH(A8,0))*('Парк (SAP)'!$J$11:$J$346&gt;=A8))</f>
        <v>0</v>
      </c>
      <c r="F8" s="32">
        <f>SUMPRODUCT(('Парк (SAP)'!$B$11:$B$346="Полюс Сухой Лог")*('Парк (SAP)'!$D$11:$D$346="TR100")*('Парк (SAP)'!$H$11:$H$346&lt;=EOMONTH(A8,0))*('Парк (SAP)'!$J$11:$J$346&gt;=A8))</f>
        <v>2</v>
      </c>
      <c r="G8" s="32">
        <f>SUMPRODUCT(('Парк (SAP)'!$B$11:$B$346="Полюс Магадан")*('Парк (SAP)'!$D$11:$D$346="NTE")*('Парк (SAP)'!$H$11:$H$346&lt;=EOMONTH(A8,0))*('Парк (SAP)'!$J$11:$J$346&gt;=A8))</f>
        <v>20</v>
      </c>
      <c r="H8" s="32">
        <f>SUMPRODUCT(('Парк (SAP)'!$B$11:$B$346="Полюс Магадан")*('Парк (SAP)'!$D$11:$D$346="TR100")*('Парк (SAP)'!$H$11:$H$346&lt;=EOMONTH(A8,0))*('Парк (SAP)'!$J$11:$J$346&gt;=A8))</f>
        <v>0</v>
      </c>
      <c r="I8" s="32">
        <f>SUMPRODUCT(('Парк (SAP)'!$B$11:$B$346="Полюс Алдан")*('Парк (SAP)'!$D$11:$D$346="TR100")*('Парк (SAP)'!$H$11:$H$346&lt;=EOMONTH(A8,0))*('Парк (SAP)'!$J$11:$J$346&gt;=A8))</f>
        <v>1</v>
      </c>
      <c r="J8" s="33">
        <f>SUM(C8:I8)</f>
        <v>40</v>
      </c>
    </row>
    <row r="9">
      <c r="A9" s="31" t="n">
        <v>45444</v>
      </c>
      <c r="B9" s="32">
        <f>YEAR(A9)</f>
        <v>2024</v>
      </c>
      <c r="C9" s="32">
        <f>SUMPRODUCT(('Парк (SAP)'!$B$11:$B$346="Полюс Красноярск")*('Парк (SAP)'!$D$11:$D$346="NTE")*('Парк (SAP)'!$H$11:$H$346&lt;=EOMONTH(A9,0))*('Парк (SAP)'!$J$11:$J$346&gt;=A9))</f>
        <v>22</v>
      </c>
      <c r="D9" s="32">
        <f>SUMPRODUCT(('Парк (SAP)'!$B$11:$B$346="Полюс Красноярск")*('Парк (SAP)'!$D$11:$D$346="TR100")*('Парк (SAP)'!$H$11:$H$346&lt;=EOMONTH(A9,0))*('Парк (SAP)'!$J$11:$J$346&gt;=A9))</f>
        <v>0</v>
      </c>
      <c r="E9" s="32">
        <f>SUMPRODUCT(('Парк (SAP)'!$B$11:$B$346="Полюс Сухой Лог")*('Парк (SAP)'!$D$11:$D$346="NTE")*('Парк (SAP)'!$H$11:$H$346&lt;=EOMONTH(A9,0))*('Парк (SAP)'!$J$11:$J$346&gt;=A9))</f>
        <v>0</v>
      </c>
      <c r="F9" s="32">
        <f>SUMPRODUCT(('Парк (SAP)'!$B$11:$B$346="Полюс Сухой Лог")*('Парк (SAP)'!$D$11:$D$346="TR100")*('Парк (SAP)'!$H$11:$H$346&lt;=EOMONTH(A9,0))*('Парк (SAP)'!$J$11:$J$346&gt;=A9))</f>
        <v>2</v>
      </c>
      <c r="G9" s="32">
        <f>SUMPRODUCT(('Парк (SAP)'!$B$11:$B$346="Полюс Магадан")*('Парк (SAP)'!$D$11:$D$346="NTE")*('Парк (SAP)'!$H$11:$H$346&lt;=EOMONTH(A9,0))*('Парк (SAP)'!$J$11:$J$346&gt;=A9))</f>
        <v>20</v>
      </c>
      <c r="H9" s="32">
        <f>SUMPRODUCT(('Парк (SAP)'!$B$11:$B$346="Полюс Магадан")*('Парк (SAP)'!$D$11:$D$346="TR100")*('Парк (SAP)'!$H$11:$H$346&lt;=EOMONTH(A9,0))*('Парк (SAP)'!$J$11:$J$346&gt;=A9))</f>
        <v>0</v>
      </c>
      <c r="I9" s="32">
        <f>SUMPRODUCT(('Парк (SAP)'!$B$11:$B$346="Полюс Алдан")*('Парк (SAP)'!$D$11:$D$346="TR100")*('Парк (SAP)'!$H$11:$H$346&lt;=EOMONTH(A9,0))*('Парк (SAP)'!$J$11:$J$346&gt;=A9))</f>
        <v>1</v>
      </c>
      <c r="J9" s="33">
        <f>SUM(C9:I9)</f>
        <v>45</v>
      </c>
    </row>
    <row r="10">
      <c r="A10" s="31" t="n">
        <v>45474</v>
      </c>
      <c r="B10" s="32">
        <f>YEAR(A10)</f>
        <v>2024</v>
      </c>
      <c r="C10" s="32">
        <f>SUMPRODUCT(('Парк (SAP)'!$B$11:$B$346="Полюс Красноярск")*('Парк (SAP)'!$D$11:$D$346="NTE")*('Парк (SAP)'!$H$11:$H$346&lt;=EOMONTH(A10,0))*('Парк (SAP)'!$J$11:$J$346&gt;=A10))</f>
        <v>24</v>
      </c>
      <c r="D10" s="32">
        <f>SUMPRODUCT(('Парк (SAP)'!$B$11:$B$346="Полюс Красноярск")*('Парк (SAP)'!$D$11:$D$346="TR100")*('Парк (SAP)'!$H$11:$H$346&lt;=EOMONTH(A10,0))*('Парк (SAP)'!$J$11:$J$346&gt;=A10))</f>
        <v>0</v>
      </c>
      <c r="E10" s="32">
        <f>SUMPRODUCT(('Парк (SAP)'!$B$11:$B$346="Полюс Сухой Лог")*('Парк (SAP)'!$D$11:$D$346="NTE")*('Парк (SAP)'!$H$11:$H$346&lt;=EOMONTH(A10,0))*('Парк (SAP)'!$J$11:$J$346&gt;=A10))</f>
        <v>0</v>
      </c>
      <c r="F10" s="32">
        <f>SUMPRODUCT(('Парк (SAP)'!$B$11:$B$346="Полюс Сухой Лог")*('Парк (SAP)'!$D$11:$D$346="TR100")*('Парк (SAP)'!$H$11:$H$346&lt;=EOMONTH(A10,0))*('Парк (SAP)'!$J$11:$J$346&gt;=A10))</f>
        <v>9</v>
      </c>
      <c r="G10" s="32">
        <f>SUMPRODUCT(('Парк (SAP)'!$B$11:$B$346="Полюс Магадан")*('Парк (SAP)'!$D$11:$D$346="NTE")*('Парк (SAP)'!$H$11:$H$346&lt;=EOMONTH(A10,0))*('Парк (SAP)'!$J$11:$J$346&gt;=A10))</f>
        <v>20</v>
      </c>
      <c r="H10" s="32">
        <f>SUMPRODUCT(('Парк (SAP)'!$B$11:$B$346="Полюс Магадан")*('Парк (SAP)'!$D$11:$D$346="TR100")*('Парк (SAP)'!$H$11:$H$346&lt;=EOMONTH(A10,0))*('Парк (SAP)'!$J$11:$J$346&gt;=A10))</f>
        <v>0</v>
      </c>
      <c r="I10" s="32">
        <f>SUMPRODUCT(('Парк (SAP)'!$B$11:$B$346="Полюс Алдан")*('Парк (SAP)'!$D$11:$D$346="TR100")*('Парк (SAP)'!$H$11:$H$346&lt;=EOMONTH(A10,0))*('Парк (SAP)'!$J$11:$J$346&gt;=A10))</f>
        <v>1</v>
      </c>
      <c r="J10" s="33">
        <f>SUM(C10:I10)</f>
        <v>54</v>
      </c>
    </row>
    <row r="11">
      <c r="A11" s="31" t="n">
        <v>45505</v>
      </c>
      <c r="B11" s="32">
        <f>YEAR(A11)</f>
        <v>2024</v>
      </c>
      <c r="C11" s="32">
        <f>SUMPRODUCT(('Парк (SAP)'!$B$11:$B$346="Полюс Красноярск")*('Парк (SAP)'!$D$11:$D$346="NTE")*('Парк (SAP)'!$H$11:$H$346&lt;=EOMONTH(A11,0))*('Парк (SAP)'!$J$11:$J$346&gt;=A11))</f>
        <v>26</v>
      </c>
      <c r="D11" s="32">
        <f>SUMPRODUCT(('Парк (SAP)'!$B$11:$B$346="Полюс Красноярск")*('Парк (SAP)'!$D$11:$D$346="TR100")*('Парк (SAP)'!$H$11:$H$346&lt;=EOMONTH(A11,0))*('Парк (SAP)'!$J$11:$J$346&gt;=A11))</f>
        <v>0</v>
      </c>
      <c r="E11" s="32">
        <f>SUMPRODUCT(('Парк (SAP)'!$B$11:$B$346="Полюс Сухой Лог")*('Парк (SAP)'!$D$11:$D$346="NTE")*('Парк (SAP)'!$H$11:$H$346&lt;=EOMONTH(A11,0))*('Парк (SAP)'!$J$11:$J$346&gt;=A11))</f>
        <v>0</v>
      </c>
      <c r="F11" s="32">
        <f>SUMPRODUCT(('Парк (SAP)'!$B$11:$B$346="Полюс Сухой Лог")*('Парк (SAP)'!$D$11:$D$346="TR100")*('Парк (SAP)'!$H$11:$H$346&lt;=EOMONTH(A11,0))*('Парк (SAP)'!$J$11:$J$346&gt;=A11))</f>
        <v>9</v>
      </c>
      <c r="G11" s="32">
        <f>SUMPRODUCT(('Парк (SAP)'!$B$11:$B$346="Полюс Магадан")*('Парк (SAP)'!$D$11:$D$346="NTE")*('Парк (SAP)'!$H$11:$H$346&lt;=EOMONTH(A11,0))*('Парк (SAP)'!$J$11:$J$346&gt;=A11))</f>
        <v>20</v>
      </c>
      <c r="H11" s="32">
        <f>SUMPRODUCT(('Парк (SAP)'!$B$11:$B$346="Полюс Магадан")*('Парк (SAP)'!$D$11:$D$346="TR100")*('Парк (SAP)'!$H$11:$H$346&lt;=EOMONTH(A11,0))*('Парк (SAP)'!$J$11:$J$346&gt;=A11))</f>
        <v>0</v>
      </c>
      <c r="I11" s="32">
        <f>SUMPRODUCT(('Парк (SAP)'!$B$11:$B$346="Полюс Алдан")*('Парк (SAP)'!$D$11:$D$346="TR100")*('Парк (SAP)'!$H$11:$H$346&lt;=EOMONTH(A11,0))*('Парк (SAP)'!$J$11:$J$346&gt;=A11))</f>
        <v>1</v>
      </c>
      <c r="J11" s="33">
        <f>SUM(C11:I11)</f>
        <v>56</v>
      </c>
    </row>
    <row r="12">
      <c r="A12" s="31" t="n">
        <v>45536</v>
      </c>
      <c r="B12" s="32">
        <f>YEAR(A12)</f>
        <v>2024</v>
      </c>
      <c r="C12" s="32">
        <f>SUMPRODUCT(('Парк (SAP)'!$B$11:$B$346="Полюс Красноярск")*('Парк (SAP)'!$D$11:$D$346="NTE")*('Парк (SAP)'!$H$11:$H$346&lt;=EOMONTH(A12,0))*('Парк (SAP)'!$J$11:$J$346&gt;=A12))</f>
        <v>30</v>
      </c>
      <c r="D12" s="32">
        <f>SUMPRODUCT(('Парк (SAP)'!$B$11:$B$346="Полюс Красноярск")*('Парк (SAP)'!$D$11:$D$346="TR100")*('Парк (SAP)'!$H$11:$H$346&lt;=EOMONTH(A12,0))*('Парк (SAP)'!$J$11:$J$346&gt;=A12))</f>
        <v>0</v>
      </c>
      <c r="E12" s="32">
        <f>SUMPRODUCT(('Парк (SAP)'!$B$11:$B$346="Полюс Сухой Лог")*('Парк (SAP)'!$D$11:$D$346="NTE")*('Парк (SAP)'!$H$11:$H$346&lt;=EOMONTH(A12,0))*('Парк (SAP)'!$J$11:$J$346&gt;=A12))</f>
        <v>0</v>
      </c>
      <c r="F12" s="32">
        <f>SUMPRODUCT(('Парк (SAP)'!$B$11:$B$346="Полюс Сухой Лог")*('Парк (SAP)'!$D$11:$D$346="TR100")*('Парк (SAP)'!$H$11:$H$346&lt;=EOMONTH(A12,0))*('Парк (SAP)'!$J$11:$J$346&gt;=A12))</f>
        <v>9</v>
      </c>
      <c r="G12" s="32">
        <f>SUMPRODUCT(('Парк (SAP)'!$B$11:$B$346="Полюс Магадан")*('Парк (SAP)'!$D$11:$D$346="NTE")*('Парк (SAP)'!$H$11:$H$346&lt;=EOMONTH(A12,0))*('Парк (SAP)'!$J$11:$J$346&gt;=A12))</f>
        <v>20</v>
      </c>
      <c r="H12" s="32">
        <f>SUMPRODUCT(('Парк (SAP)'!$B$11:$B$346="Полюс Магадан")*('Парк (SAP)'!$D$11:$D$346="TR100")*('Парк (SAP)'!$H$11:$H$346&lt;=EOMONTH(A12,0))*('Парк (SAP)'!$J$11:$J$346&gt;=A12))</f>
        <v>0</v>
      </c>
      <c r="I12" s="32">
        <f>SUMPRODUCT(('Парк (SAP)'!$B$11:$B$346="Полюс Алдан")*('Парк (SAP)'!$D$11:$D$346="TR100")*('Парк (SAP)'!$H$11:$H$346&lt;=EOMONTH(A12,0))*('Парк (SAP)'!$J$11:$J$346&gt;=A12))</f>
        <v>1</v>
      </c>
      <c r="J12" s="33">
        <f>SUM(C12:I12)</f>
        <v>60</v>
      </c>
    </row>
    <row r="13">
      <c r="A13" s="31" t="n">
        <v>45566</v>
      </c>
      <c r="B13" s="32">
        <f>YEAR(A13)</f>
        <v>2024</v>
      </c>
      <c r="C13" s="32">
        <f>SUMPRODUCT(('Парк (SAP)'!$B$11:$B$346="Полюс Красноярск")*('Парк (SAP)'!$D$11:$D$346="NTE")*('Парк (SAP)'!$H$11:$H$346&lt;=EOMONTH(A13,0))*('Парк (SAP)'!$J$11:$J$346&gt;=A13))</f>
        <v>32</v>
      </c>
      <c r="D13" s="32">
        <f>SUMPRODUCT(('Парк (SAP)'!$B$11:$B$346="Полюс Красноярск")*('Парк (SAP)'!$D$11:$D$346="TR100")*('Парк (SAP)'!$H$11:$H$346&lt;=EOMONTH(A13,0))*('Парк (SAP)'!$J$11:$J$346&gt;=A13))</f>
        <v>0</v>
      </c>
      <c r="E13" s="32">
        <f>SUMPRODUCT(('Парк (SAP)'!$B$11:$B$346="Полюс Сухой Лог")*('Парк (SAP)'!$D$11:$D$346="NTE")*('Парк (SAP)'!$H$11:$H$346&lt;=EOMONTH(A13,0))*('Парк (SAP)'!$J$11:$J$346&gt;=A13))</f>
        <v>0</v>
      </c>
      <c r="F13" s="32">
        <f>SUMPRODUCT(('Парк (SAP)'!$B$11:$B$346="Полюс Сухой Лог")*('Парк (SAP)'!$D$11:$D$346="TR100")*('Парк (SAP)'!$H$11:$H$346&lt;=EOMONTH(A13,0))*('Парк (SAP)'!$J$11:$J$346&gt;=A13))</f>
        <v>9</v>
      </c>
      <c r="G13" s="32">
        <f>SUMPRODUCT(('Парк (SAP)'!$B$11:$B$346="Полюс Магадан")*('Парк (SAP)'!$D$11:$D$346="NTE")*('Парк (SAP)'!$H$11:$H$346&lt;=EOMONTH(A13,0))*('Парк (SAP)'!$J$11:$J$346&gt;=A13))</f>
        <v>20</v>
      </c>
      <c r="H13" s="32">
        <f>SUMPRODUCT(('Парк (SAP)'!$B$11:$B$346="Полюс Магадан")*('Парк (SAP)'!$D$11:$D$346="TR100")*('Парк (SAP)'!$H$11:$H$346&lt;=EOMONTH(A13,0))*('Парк (SAP)'!$J$11:$J$346&gt;=A13))</f>
        <v>0</v>
      </c>
      <c r="I13" s="32">
        <f>SUMPRODUCT(('Парк (SAP)'!$B$11:$B$346="Полюс Алдан")*('Парк (SAP)'!$D$11:$D$346="TR100")*('Парк (SAP)'!$H$11:$H$346&lt;=EOMONTH(A13,0))*('Парк (SAP)'!$J$11:$J$346&gt;=A13))</f>
        <v>1</v>
      </c>
      <c r="J13" s="33">
        <f>SUM(C13:I13)</f>
        <v>62</v>
      </c>
    </row>
    <row r="14">
      <c r="A14" s="31" t="n">
        <v>45597</v>
      </c>
      <c r="B14" s="32">
        <f>YEAR(A14)</f>
        <v>2024</v>
      </c>
      <c r="C14" s="32">
        <f>SUMPRODUCT(('Парк (SAP)'!$B$11:$B$346="Полюс Красноярск")*('Парк (SAP)'!$D$11:$D$346="NTE")*('Парк (SAP)'!$H$11:$H$346&lt;=EOMONTH(A14,0))*('Парк (SAP)'!$J$11:$J$346&gt;=A14))</f>
        <v>32</v>
      </c>
      <c r="D14" s="32">
        <f>SUMPRODUCT(('Парк (SAP)'!$B$11:$B$346="Полюс Красноярск")*('Парк (SAP)'!$D$11:$D$346="TR100")*('Парк (SAP)'!$H$11:$H$346&lt;=EOMONTH(A14,0))*('Парк (SAP)'!$J$11:$J$346&gt;=A14))</f>
        <v>0</v>
      </c>
      <c r="E14" s="32">
        <f>SUMPRODUCT(('Парк (SAP)'!$B$11:$B$346="Полюс Сухой Лог")*('Парк (SAP)'!$D$11:$D$346="NTE")*('Парк (SAP)'!$H$11:$H$346&lt;=EOMONTH(A14,0))*('Парк (SAP)'!$J$11:$J$346&gt;=A14))</f>
        <v>0</v>
      </c>
      <c r="F14" s="32">
        <f>SUMPRODUCT(('Парк (SAP)'!$B$11:$B$346="Полюс Сухой Лог")*('Парк (SAP)'!$D$11:$D$346="TR100")*('Парк (SAP)'!$H$11:$H$346&lt;=EOMONTH(A14,0))*('Парк (SAP)'!$J$11:$J$346&gt;=A14))</f>
        <v>9</v>
      </c>
      <c r="G14" s="32">
        <f>SUMPRODUCT(('Парк (SAP)'!$B$11:$B$346="Полюс Магадан")*('Парк (SAP)'!$D$11:$D$346="NTE")*('Парк (SAP)'!$H$11:$H$346&lt;=EOMONTH(A14,0))*('Парк (SAP)'!$J$11:$J$346&gt;=A14))</f>
        <v>20</v>
      </c>
      <c r="H14" s="32">
        <f>SUMPRODUCT(('Парк (SAP)'!$B$11:$B$346="Полюс Магадан")*('Парк (SAP)'!$D$11:$D$346="TR100")*('Парк (SAP)'!$H$11:$H$346&lt;=EOMONTH(A14,0))*('Парк (SAP)'!$J$11:$J$346&gt;=A14))</f>
        <v>0</v>
      </c>
      <c r="I14" s="32">
        <f>SUMPRODUCT(('Парк (SAP)'!$B$11:$B$346="Полюс Алдан")*('Парк (SAP)'!$D$11:$D$346="TR100")*('Парк (SAP)'!$H$11:$H$346&lt;=EOMONTH(A14,0))*('Парк (SAP)'!$J$11:$J$346&gt;=A14))</f>
        <v>1</v>
      </c>
      <c r="J14" s="33">
        <f>SUM(C14:I14)</f>
        <v>62</v>
      </c>
    </row>
    <row r="15">
      <c r="A15" s="31" t="n">
        <v>45627</v>
      </c>
      <c r="B15" s="32">
        <f>YEAR(A15)</f>
        <v>2024</v>
      </c>
      <c r="C15" s="32">
        <f>SUMPRODUCT(('Парк (SAP)'!$B$11:$B$346="Полюс Красноярск")*('Парк (SAP)'!$D$11:$D$346="NTE")*('Парк (SAP)'!$H$11:$H$346&lt;=EOMONTH(A15,0))*('Парк (SAP)'!$J$11:$J$346&gt;=A15))</f>
        <v>36</v>
      </c>
      <c r="D15" s="32">
        <f>SUMPRODUCT(('Парк (SAP)'!$B$11:$B$346="Полюс Красноярск")*('Парк (SAP)'!$D$11:$D$346="TR100")*('Парк (SAP)'!$H$11:$H$346&lt;=EOMONTH(A15,0))*('Парк (SAP)'!$J$11:$J$346&gt;=A15))</f>
        <v>0</v>
      </c>
      <c r="E15" s="32">
        <f>SUMPRODUCT(('Парк (SAP)'!$B$11:$B$346="Полюс Сухой Лог")*('Парк (SAP)'!$D$11:$D$346="NTE")*('Парк (SAP)'!$H$11:$H$346&lt;=EOMONTH(A15,0))*('Парк (SAP)'!$J$11:$J$346&gt;=A15))</f>
        <v>0</v>
      </c>
      <c r="F15" s="32">
        <f>SUMPRODUCT(('Парк (SAP)'!$B$11:$B$346="Полюс Сухой Лог")*('Парк (SAP)'!$D$11:$D$346="TR100")*('Парк (SAP)'!$H$11:$H$346&lt;=EOMONTH(A15,0))*('Парк (SAP)'!$J$11:$J$346&gt;=A15))</f>
        <v>9</v>
      </c>
      <c r="G15" s="32">
        <f>SUMPRODUCT(('Парк (SAP)'!$B$11:$B$346="Полюс Магадан")*('Парк (SAP)'!$D$11:$D$346="NTE")*('Парк (SAP)'!$H$11:$H$346&lt;=EOMONTH(A15,0))*('Парк (SAP)'!$J$11:$J$346&gt;=A15))</f>
        <v>22</v>
      </c>
      <c r="H15" s="32">
        <f>SUMPRODUCT(('Парк (SAP)'!$B$11:$B$346="Полюс Магадан")*('Парк (SAP)'!$D$11:$D$346="TR100")*('Парк (SAP)'!$H$11:$H$346&lt;=EOMONTH(A15,0))*('Парк (SAP)'!$J$11:$J$346&gt;=A15))</f>
        <v>0</v>
      </c>
      <c r="I15" s="32">
        <f>SUMPRODUCT(('Парк (SAP)'!$B$11:$B$346="Полюс Алдан")*('Парк (SAP)'!$D$11:$D$346="TR100")*('Парк (SAP)'!$H$11:$H$346&lt;=EOMONTH(A15,0))*('Парк (SAP)'!$J$11:$J$346&gt;=A15))</f>
        <v>1</v>
      </c>
      <c r="J15" s="33">
        <f>SUM(C15:I15)</f>
        <v>68</v>
      </c>
    </row>
    <row r="16">
      <c r="A16" s="31" t="n">
        <v>45658</v>
      </c>
      <c r="B16" s="32">
        <f>YEAR(A16)</f>
        <v>2025</v>
      </c>
      <c r="C16" s="32">
        <f>SUMPRODUCT(('Парк (SAP)'!$B$11:$B$346="Полюс Красноярск")*('Парк (SAP)'!$D$11:$D$346="NTE")*('Парк (SAP)'!$H$11:$H$346&lt;=EOMONTH(A16,0))*('Парк (SAP)'!$J$11:$J$346&gt;=A16))</f>
        <v>40</v>
      </c>
      <c r="D16" s="32">
        <f>SUMPRODUCT(('Парк (SAP)'!$B$11:$B$346="Полюс Красноярск")*('Парк (SAP)'!$D$11:$D$346="TR100")*('Парк (SAP)'!$H$11:$H$346&lt;=EOMONTH(A16,0))*('Парк (SAP)'!$J$11:$J$346&gt;=A16))</f>
        <v>0</v>
      </c>
      <c r="E16" s="32">
        <f>SUMPRODUCT(('Парк (SAP)'!$B$11:$B$346="Полюс Сухой Лог")*('Парк (SAP)'!$D$11:$D$346="NTE")*('Парк (SAP)'!$H$11:$H$346&lt;=EOMONTH(A16,0))*('Парк (SAP)'!$J$11:$J$346&gt;=A16))</f>
        <v>0</v>
      </c>
      <c r="F16" s="32">
        <f>SUMPRODUCT(('Парк (SAP)'!$B$11:$B$346="Полюс Сухой Лог")*('Парк (SAP)'!$D$11:$D$346="TR100")*('Парк (SAP)'!$H$11:$H$346&lt;=EOMONTH(A16,0))*('Парк (SAP)'!$J$11:$J$346&gt;=A16))</f>
        <v>9</v>
      </c>
      <c r="G16" s="32">
        <f>SUMPRODUCT(('Парк (SAP)'!$B$11:$B$346="Полюс Магадан")*('Парк (SAP)'!$D$11:$D$346="NTE")*('Парк (SAP)'!$H$11:$H$346&lt;=EOMONTH(A16,0))*('Парк (SAP)'!$J$11:$J$346&gt;=A16))</f>
        <v>28</v>
      </c>
      <c r="H16" s="32">
        <f>SUMPRODUCT(('Парк (SAP)'!$B$11:$B$346="Полюс Магадан")*('Парк (SAP)'!$D$11:$D$346="TR100")*('Парк (SAP)'!$H$11:$H$346&lt;=EOMONTH(A16,0))*('Парк (SAP)'!$J$11:$J$346&gt;=A16))</f>
        <v>0</v>
      </c>
      <c r="I16" s="32">
        <f>SUMPRODUCT(('Парк (SAP)'!$B$11:$B$346="Полюс Алдан")*('Парк (SAP)'!$D$11:$D$346="TR100")*('Парк (SAP)'!$H$11:$H$346&lt;=EOMONTH(A16,0))*('Парк (SAP)'!$J$11:$J$346&gt;=A16))</f>
        <v>1</v>
      </c>
      <c r="J16" s="33">
        <f>SUM(C16:I16)</f>
        <v>78</v>
      </c>
    </row>
    <row r="17">
      <c r="A17" s="31" t="n">
        <v>45689</v>
      </c>
      <c r="B17" s="32">
        <f>YEAR(A17)</f>
        <v>2025</v>
      </c>
      <c r="C17" s="32">
        <f>SUMPRODUCT(('Парк (SAP)'!$B$11:$B$346="Полюс Красноярск")*('Парк (SAP)'!$D$11:$D$346="NTE")*('Парк (SAP)'!$H$11:$H$346&lt;=EOMONTH(A17,0))*('Парк (SAP)'!$J$11:$J$346&gt;=A17))</f>
        <v>43</v>
      </c>
      <c r="D17" s="32">
        <f>SUMPRODUCT(('Парк (SAP)'!$B$11:$B$346="Полюс Красноярск")*('Парк (SAP)'!$D$11:$D$346="TR100")*('Парк (SAP)'!$H$11:$H$346&lt;=EOMONTH(A17,0))*('Парк (SAP)'!$J$11:$J$346&gt;=A17))</f>
        <v>0</v>
      </c>
      <c r="E17" s="32">
        <f>SUMPRODUCT(('Парк (SAP)'!$B$11:$B$346="Полюс Сухой Лог")*('Парк (SAP)'!$D$11:$D$346="NTE")*('Парк (SAP)'!$H$11:$H$346&lt;=EOMONTH(A17,0))*('Парк (SAP)'!$J$11:$J$346&gt;=A17))</f>
        <v>0</v>
      </c>
      <c r="F17" s="32">
        <f>SUMPRODUCT(('Парк (SAP)'!$B$11:$B$346="Полюс Сухой Лог")*('Парк (SAP)'!$D$11:$D$346="TR100")*('Парк (SAP)'!$H$11:$H$346&lt;=EOMONTH(A17,0))*('Парк (SAP)'!$J$11:$J$346&gt;=A17))</f>
        <v>9</v>
      </c>
      <c r="G17" s="32">
        <f>SUMPRODUCT(('Парк (SAP)'!$B$11:$B$346="Полюс Магадан")*('Парк (SAP)'!$D$11:$D$346="NTE")*('Парк (SAP)'!$H$11:$H$346&lt;=EOMONTH(A17,0))*('Парк (SAP)'!$J$11:$J$346&gt;=A17))</f>
        <v>34</v>
      </c>
      <c r="H17" s="32">
        <f>SUMPRODUCT(('Парк (SAP)'!$B$11:$B$346="Полюс Магадан")*('Парк (SAP)'!$D$11:$D$346="TR100")*('Парк (SAP)'!$H$11:$H$346&lt;=EOMONTH(A17,0))*('Парк (SAP)'!$J$11:$J$346&gt;=A17))</f>
        <v>0</v>
      </c>
      <c r="I17" s="32">
        <f>SUMPRODUCT(('Парк (SAP)'!$B$11:$B$346="Полюс Алдан")*('Парк (SAP)'!$D$11:$D$346="TR100")*('Парк (SAP)'!$H$11:$H$346&lt;=EOMONTH(A17,0))*('Парк (SAP)'!$J$11:$J$346&gt;=A17))</f>
        <v>1</v>
      </c>
      <c r="J17" s="33">
        <f>SUM(C17:I17)</f>
        <v>87</v>
      </c>
    </row>
    <row r="18">
      <c r="A18" s="31" t="n">
        <v>45717</v>
      </c>
      <c r="B18" s="32">
        <f>YEAR(A18)</f>
        <v>2025</v>
      </c>
      <c r="C18" s="32">
        <f>SUMPRODUCT(('Парк (SAP)'!$B$11:$B$346="Полюс Красноярск")*('Парк (SAP)'!$D$11:$D$346="NTE")*('Парк (SAP)'!$H$11:$H$346&lt;=EOMONTH(A18,0))*('Парк (SAP)'!$J$11:$J$346&gt;=A18))</f>
        <v>45</v>
      </c>
      <c r="D18" s="32">
        <f>SUMPRODUCT(('Парк (SAP)'!$B$11:$B$346="Полюс Красноярск")*('Парк (SAP)'!$D$11:$D$346="TR100")*('Парк (SAP)'!$H$11:$H$346&lt;=EOMONTH(A18,0))*('Парк (SAP)'!$J$11:$J$346&gt;=A18))</f>
        <v>0</v>
      </c>
      <c r="E18" s="32">
        <f>SUMPRODUCT(('Парк (SAP)'!$B$11:$B$346="Полюс Сухой Лог")*('Парк (SAP)'!$D$11:$D$346="NTE")*('Парк (SAP)'!$H$11:$H$346&lt;=EOMONTH(A18,0))*('Парк (SAP)'!$J$11:$J$346&gt;=A18))</f>
        <v>0</v>
      </c>
      <c r="F18" s="32">
        <f>SUMPRODUCT(('Парк (SAP)'!$B$11:$B$346="Полюс Сухой Лог")*('Парк (SAP)'!$D$11:$D$346="TR100")*('Парк (SAP)'!$H$11:$H$346&lt;=EOMONTH(A18,0))*('Парк (SAP)'!$J$11:$J$346&gt;=A18))</f>
        <v>9</v>
      </c>
      <c r="G18" s="32">
        <f>SUMPRODUCT(('Парк (SAP)'!$B$11:$B$346="Полюс Магадан")*('Парк (SAP)'!$D$11:$D$346="NTE")*('Парк (SAP)'!$H$11:$H$346&lt;=EOMONTH(A18,0))*('Парк (SAP)'!$J$11:$J$346&gt;=A18))</f>
        <v>30</v>
      </c>
      <c r="H18" s="32">
        <f>SUMPRODUCT(('Парк (SAP)'!$B$11:$B$346="Полюс Магадан")*('Парк (SAP)'!$D$11:$D$346="TR100")*('Парк (SAP)'!$H$11:$H$346&lt;=EOMONTH(A18,0))*('Парк (SAP)'!$J$11:$J$346&gt;=A18))</f>
        <v>0</v>
      </c>
      <c r="I18" s="32">
        <f>SUMPRODUCT(('Парк (SAP)'!$B$11:$B$346="Полюс Алдан")*('Парк (SAP)'!$D$11:$D$346="TR100")*('Парк (SAP)'!$H$11:$H$346&lt;=EOMONTH(A18,0))*('Парк (SAP)'!$J$11:$J$346&gt;=A18))</f>
        <v>8</v>
      </c>
      <c r="J18" s="33">
        <f>SUM(C18:I18)</f>
        <v>92</v>
      </c>
    </row>
    <row r="19">
      <c r="A19" s="31" t="n">
        <v>45748</v>
      </c>
      <c r="B19" s="32">
        <f>YEAR(A19)</f>
        <v>2025</v>
      </c>
      <c r="C19" s="32">
        <f>SUMPRODUCT(('Парк (SAP)'!$B$11:$B$346="Полюс Красноярск")*('Парк (SAP)'!$D$11:$D$346="NTE")*('Парк (SAP)'!$H$11:$H$346&lt;=EOMONTH(A19,0))*('Парк (SAP)'!$J$11:$J$346&gt;=A19))</f>
        <v>42</v>
      </c>
      <c r="D19" s="32">
        <f>SUMPRODUCT(('Парк (SAP)'!$B$11:$B$346="Полюс Красноярск")*('Парк (SAP)'!$D$11:$D$346="TR100")*('Парк (SAP)'!$H$11:$H$346&lt;=EOMONTH(A19,0))*('Парк (SAP)'!$J$11:$J$346&gt;=A19))</f>
        <v>0</v>
      </c>
      <c r="E19" s="32">
        <f>SUMPRODUCT(('Парк (SAP)'!$B$11:$B$346="Полюс Сухой Лог")*('Парк (SAP)'!$D$11:$D$346="NTE")*('Парк (SAP)'!$H$11:$H$346&lt;=EOMONTH(A19,0))*('Парк (SAP)'!$J$11:$J$346&gt;=A19))</f>
        <v>0</v>
      </c>
      <c r="F19" s="32">
        <f>SUMPRODUCT(('Парк (SAP)'!$B$11:$B$346="Полюс Сухой Лог")*('Парк (SAP)'!$D$11:$D$346="TR100")*('Парк (SAP)'!$H$11:$H$346&lt;=EOMONTH(A19,0))*('Парк (SAP)'!$J$11:$J$346&gt;=A19))</f>
        <v>9</v>
      </c>
      <c r="G19" s="32">
        <f>SUMPRODUCT(('Парк (SAP)'!$B$11:$B$346="Полюс Магадан")*('Парк (SAP)'!$D$11:$D$346="NTE")*('Парк (SAP)'!$H$11:$H$346&lt;=EOMONTH(A19,0))*('Парк (SAP)'!$J$11:$J$346&gt;=A19))</f>
        <v>25</v>
      </c>
      <c r="H19" s="32">
        <f>SUMPRODUCT(('Парк (SAP)'!$B$11:$B$346="Полюс Магадан")*('Парк (SAP)'!$D$11:$D$346="TR100")*('Парк (SAP)'!$H$11:$H$346&lt;=EOMONTH(A19,0))*('Парк (SAP)'!$J$11:$J$346&gt;=A19))</f>
        <v>0</v>
      </c>
      <c r="I19" s="32">
        <f>SUMPRODUCT(('Парк (SAP)'!$B$11:$B$346="Полюс Алдан")*('Парк (SAP)'!$D$11:$D$346="TR100")*('Парк (SAP)'!$H$11:$H$346&lt;=EOMONTH(A19,0))*('Парк (SAP)'!$J$11:$J$346&gt;=A19))</f>
        <v>13</v>
      </c>
      <c r="J19" s="33">
        <f>SUM(C19:I19)</f>
        <v>89</v>
      </c>
    </row>
    <row r="20">
      <c r="A20" s="31" t="n">
        <v>45778</v>
      </c>
      <c r="B20" s="32">
        <f>YEAR(A20)</f>
        <v>2025</v>
      </c>
      <c r="C20" s="32">
        <f>SUMPRODUCT(('Парк (SAP)'!$B$11:$B$346="Полюс Красноярск")*('Парк (SAP)'!$D$11:$D$346="NTE")*('Парк (SAP)'!$H$11:$H$346&lt;=EOMONTH(A20,0))*('Парк (SAP)'!$J$11:$J$346&gt;=A20))</f>
        <v>41</v>
      </c>
      <c r="D20" s="32">
        <f>SUMPRODUCT(('Парк (SAP)'!$B$11:$B$346="Полюс Красноярск")*('Парк (SAP)'!$D$11:$D$346="TR100")*('Парк (SAP)'!$H$11:$H$346&lt;=EOMONTH(A20,0))*('Парк (SAP)'!$J$11:$J$346&gt;=A20))</f>
        <v>0</v>
      </c>
      <c r="E20" s="32">
        <f>SUMPRODUCT(('Парк (SAP)'!$B$11:$B$346="Полюс Сухой Лог")*('Парк (SAP)'!$D$11:$D$346="NTE")*('Парк (SAP)'!$H$11:$H$346&lt;=EOMONTH(A20,0))*('Парк (SAP)'!$J$11:$J$346&gt;=A20))</f>
        <v>0</v>
      </c>
      <c r="F20" s="32">
        <f>SUMPRODUCT(('Парк (SAP)'!$B$11:$B$346="Полюс Сухой Лог")*('Парк (SAP)'!$D$11:$D$346="TR100")*('Парк (SAP)'!$H$11:$H$346&lt;=EOMONTH(A20,0))*('Парк (SAP)'!$J$11:$J$346&gt;=A20))</f>
        <v>9</v>
      </c>
      <c r="G20" s="32">
        <f>SUMPRODUCT(('Парк (SAP)'!$B$11:$B$346="Полюс Магадан")*('Парк (SAP)'!$D$11:$D$346="NTE")*('Парк (SAP)'!$H$11:$H$346&lt;=EOMONTH(A20,0))*('Парк (SAP)'!$J$11:$J$346&gt;=A20))</f>
        <v>20</v>
      </c>
      <c r="H20" s="32">
        <f>SUMPRODUCT(('Парк (SAP)'!$B$11:$B$346="Полюс Магадан")*('Парк (SAP)'!$D$11:$D$346="TR100")*('Парк (SAP)'!$H$11:$H$346&lt;=EOMONTH(A20,0))*('Парк (SAP)'!$J$11:$J$346&gt;=A20))</f>
        <v>0</v>
      </c>
      <c r="I20" s="32">
        <f>SUMPRODUCT(('Парк (SAP)'!$B$11:$B$346="Полюс Алдан")*('Парк (SAP)'!$D$11:$D$346="TR100")*('Парк (SAP)'!$H$11:$H$346&lt;=EOMONTH(A20,0))*('Парк (SAP)'!$J$11:$J$346&gt;=A20))</f>
        <v>13</v>
      </c>
      <c r="J20" s="33">
        <f>SUM(C20:I20)</f>
        <v>83</v>
      </c>
    </row>
    <row r="21">
      <c r="A21" s="31" t="n">
        <v>45809</v>
      </c>
      <c r="B21" s="32">
        <f>YEAR(A21)</f>
        <v>2025</v>
      </c>
      <c r="C21" s="32">
        <f>SUMPRODUCT(('Парк (SAP)'!$B$11:$B$346="Полюс Красноярск")*('Парк (SAP)'!$D$11:$D$346="NTE")*('Парк (SAP)'!$H$11:$H$346&lt;=EOMONTH(A21,0))*('Парк (SAP)'!$J$11:$J$346&gt;=A21))</f>
        <v>40</v>
      </c>
      <c r="D21" s="32">
        <f>SUMPRODUCT(('Парк (SAP)'!$B$11:$B$346="Полюс Красноярск")*('Парк (SAP)'!$D$11:$D$346="TR100")*('Парк (SAP)'!$H$11:$H$346&lt;=EOMONTH(A21,0))*('Парк (SAP)'!$J$11:$J$346&gt;=A21))</f>
        <v>0</v>
      </c>
      <c r="E21" s="32">
        <f>SUMPRODUCT(('Парк (SAP)'!$B$11:$B$346="Полюс Сухой Лог")*('Парк (SAP)'!$D$11:$D$346="NTE")*('Парк (SAP)'!$H$11:$H$346&lt;=EOMONTH(A21,0))*('Парк (SAP)'!$J$11:$J$346&gt;=A21))</f>
        <v>0</v>
      </c>
      <c r="F21" s="32">
        <f>SUMPRODUCT(('Парк (SAP)'!$B$11:$B$346="Полюс Сухой Лог")*('Парк (SAP)'!$D$11:$D$346="TR100")*('Парк (SAP)'!$H$11:$H$346&lt;=EOMONTH(A21,0))*('Парк (SAP)'!$J$11:$J$346&gt;=A21))</f>
        <v>9</v>
      </c>
      <c r="G21" s="32">
        <f>SUMPRODUCT(('Парк (SAP)'!$B$11:$B$346="Полюс Магадан")*('Парк (SAP)'!$D$11:$D$346="NTE")*('Парк (SAP)'!$H$11:$H$346&lt;=EOMONTH(A21,0))*('Парк (SAP)'!$J$11:$J$346&gt;=A21))</f>
        <v>16</v>
      </c>
      <c r="H21" s="32">
        <f>SUMPRODUCT(('Парк (SAP)'!$B$11:$B$346="Полюс Магадан")*('Парк (SAP)'!$D$11:$D$346="TR100")*('Парк (SAP)'!$H$11:$H$346&lt;=EOMONTH(A21,0))*('Парк (SAP)'!$J$11:$J$346&gt;=A21))</f>
        <v>0</v>
      </c>
      <c r="I21" s="32">
        <f>SUMPRODUCT(('Парк (SAP)'!$B$11:$B$346="Полюс Алдан")*('Парк (SAP)'!$D$11:$D$346="TR100")*('Парк (SAP)'!$H$11:$H$346&lt;=EOMONTH(A21,0))*('Парк (SAP)'!$J$11:$J$346&gt;=A21))</f>
        <v>13</v>
      </c>
      <c r="J21" s="33">
        <f>SUM(C21:I21)</f>
        <v>78</v>
      </c>
    </row>
    <row r="22">
      <c r="A22" s="31" t="n">
        <v>45839</v>
      </c>
      <c r="B22" s="32">
        <f>YEAR(A22)</f>
        <v>2025</v>
      </c>
      <c r="C22" s="32">
        <f>SUMPRODUCT(('Парк (SAP)'!$B$11:$B$346="Полюс Красноярск")*('Парк (SAP)'!$D$11:$D$346="NTE")*('Парк (SAP)'!$H$11:$H$346&lt;=EOMONTH(A22,0))*('Парк (SAP)'!$J$11:$J$346&gt;=A22))</f>
        <v>39</v>
      </c>
      <c r="D22" s="32">
        <f>SUMPRODUCT(('Парк (SAP)'!$B$11:$B$346="Полюс Красноярск")*('Парк (SAP)'!$D$11:$D$346="TR100")*('Парк (SAP)'!$H$11:$H$346&lt;=EOMONTH(A22,0))*('Парк (SAP)'!$J$11:$J$346&gt;=A22))</f>
        <v>0</v>
      </c>
      <c r="E22" s="32">
        <f>SUMPRODUCT(('Парк (SAP)'!$B$11:$B$346="Полюс Сухой Лог")*('Парк (SAP)'!$D$11:$D$346="NTE")*('Парк (SAP)'!$H$11:$H$346&lt;=EOMONTH(A22,0))*('Парк (SAP)'!$J$11:$J$346&gt;=A22))</f>
        <v>0</v>
      </c>
      <c r="F22" s="32">
        <f>SUMPRODUCT(('Парк (SAP)'!$B$11:$B$346="Полюс Сухой Лог")*('Парк (SAP)'!$D$11:$D$346="TR100")*('Парк (SAP)'!$H$11:$H$346&lt;=EOMONTH(A22,0))*('Парк (SAP)'!$J$11:$J$346&gt;=A22))</f>
        <v>9</v>
      </c>
      <c r="G22" s="32">
        <f>SUMPRODUCT(('Парк (SAP)'!$B$11:$B$346="Полюс Магадан")*('Парк (SAP)'!$D$11:$D$346="NTE")*('Парк (SAP)'!$H$11:$H$346&lt;=EOMONTH(A22,0))*('Парк (SAP)'!$J$11:$J$346&gt;=A22))</f>
        <v>16</v>
      </c>
      <c r="H22" s="32">
        <f>SUMPRODUCT(('Парк (SAP)'!$B$11:$B$346="Полюс Магадан")*('Парк (SAP)'!$D$11:$D$346="TR100")*('Парк (SAP)'!$H$11:$H$346&lt;=EOMONTH(A22,0))*('Парк (SAP)'!$J$11:$J$346&gt;=A22))</f>
        <v>0</v>
      </c>
      <c r="I22" s="32">
        <f>SUMPRODUCT(('Парк (SAP)'!$B$11:$B$346="Полюс Алдан")*('Парк (SAP)'!$D$11:$D$346="TR100")*('Парк (SAP)'!$H$11:$H$346&lt;=EOMONTH(A22,0))*('Парк (SAP)'!$J$11:$J$346&gt;=A22))</f>
        <v>16</v>
      </c>
      <c r="J22" s="33">
        <f>SUM(C22:I22)</f>
        <v>80</v>
      </c>
    </row>
    <row r="23">
      <c r="A23" s="31" t="n">
        <v>45870</v>
      </c>
      <c r="B23" s="32">
        <f>YEAR(A23)</f>
        <v>2025</v>
      </c>
      <c r="C23" s="32">
        <f>SUMPRODUCT(('Парк (SAP)'!$B$11:$B$346="Полюс Красноярск")*('Парк (SAP)'!$D$11:$D$346="NTE")*('Парк (SAP)'!$H$11:$H$346&lt;=EOMONTH(A23,0))*('Парк (SAP)'!$J$11:$J$346&gt;=A23))</f>
        <v>42</v>
      </c>
      <c r="D23" s="32">
        <f>SUMPRODUCT(('Парк (SAP)'!$B$11:$B$346="Полюс Красноярск")*('Парк (SAP)'!$D$11:$D$346="TR100")*('Парк (SAP)'!$H$11:$H$346&lt;=EOMONTH(A23,0))*('Парк (SAP)'!$J$11:$J$346&gt;=A23))</f>
        <v>0</v>
      </c>
      <c r="E23" s="32">
        <f>SUMPRODUCT(('Парк (SAP)'!$B$11:$B$346="Полюс Сухой Лог")*('Парк (SAP)'!$D$11:$D$346="NTE")*('Парк (SAP)'!$H$11:$H$346&lt;=EOMONTH(A23,0))*('Парк (SAP)'!$J$11:$J$346&gt;=A23))</f>
        <v>0</v>
      </c>
      <c r="F23" s="32">
        <f>SUMPRODUCT(('Парк (SAP)'!$B$11:$B$346="Полюс Сухой Лог")*('Парк (SAP)'!$D$11:$D$346="TR100")*('Парк (SAP)'!$H$11:$H$346&lt;=EOMONTH(A23,0))*('Парк (SAP)'!$J$11:$J$346&gt;=A23))</f>
        <v>9</v>
      </c>
      <c r="G23" s="32">
        <f>SUMPRODUCT(('Парк (SAP)'!$B$11:$B$346="Полюс Магадан")*('Парк (SAP)'!$D$11:$D$346="NTE")*('Парк (SAP)'!$H$11:$H$346&lt;=EOMONTH(A23,0))*('Парк (SAP)'!$J$11:$J$346&gt;=A23))</f>
        <v>16</v>
      </c>
      <c r="H23" s="32">
        <f>SUMPRODUCT(('Парк (SAP)'!$B$11:$B$346="Полюс Магадан")*('Парк (SAP)'!$D$11:$D$346="TR100")*('Парк (SAP)'!$H$11:$H$346&lt;=EOMONTH(A23,0))*('Парк (SAP)'!$J$11:$J$346&gt;=A23))</f>
        <v>0</v>
      </c>
      <c r="I23" s="32">
        <f>SUMPRODUCT(('Парк (SAP)'!$B$11:$B$346="Полюс Алдан")*('Парк (SAP)'!$D$11:$D$346="TR100")*('Парк (SAP)'!$H$11:$H$346&lt;=EOMONTH(A23,0))*('Парк (SAP)'!$J$11:$J$346&gt;=A23))</f>
        <v>16</v>
      </c>
      <c r="J23" s="33">
        <f>SUM(C23:I23)</f>
        <v>83</v>
      </c>
    </row>
    <row r="24">
      <c r="A24" s="31" t="n">
        <v>45901</v>
      </c>
      <c r="B24" s="32">
        <f>YEAR(A24)</f>
        <v>2025</v>
      </c>
      <c r="C24" s="32">
        <f>SUMPRODUCT(('Парк (SAP)'!$B$11:$B$346="Полюс Красноярск")*('Парк (SAP)'!$D$11:$D$346="NTE")*('Парк (SAP)'!$H$11:$H$346&lt;=EOMONTH(A24,0))*('Парк (SAP)'!$J$11:$J$346&gt;=A24))</f>
        <v>44</v>
      </c>
      <c r="D24" s="32">
        <f>SUMPRODUCT(('Парк (SAP)'!$B$11:$B$346="Полюс Красноярск")*('Парк (SAP)'!$D$11:$D$346="TR100")*('Парк (SAP)'!$H$11:$H$346&lt;=EOMONTH(A24,0))*('Парк (SAP)'!$J$11:$J$346&gt;=A24))</f>
        <v>4</v>
      </c>
      <c r="E24" s="32">
        <f>SUMPRODUCT(('Парк (SAP)'!$B$11:$B$346="Полюс Сухой Лог")*('Парк (SAP)'!$D$11:$D$346="NTE")*('Парк (SAP)'!$H$11:$H$346&lt;=EOMONTH(A24,0))*('Парк (SAP)'!$J$11:$J$346&gt;=A24))</f>
        <v>0</v>
      </c>
      <c r="F24" s="32">
        <f>SUMPRODUCT(('Парк (SAP)'!$B$11:$B$346="Полюс Сухой Лог")*('Парк (SAP)'!$D$11:$D$346="TR100")*('Парк (SAP)'!$H$11:$H$346&lt;=EOMONTH(A24,0))*('Парк (SAP)'!$J$11:$J$346&gt;=A24))</f>
        <v>9</v>
      </c>
      <c r="G24" s="32">
        <f>SUMPRODUCT(('Парк (SAP)'!$B$11:$B$346="Полюс Магадан")*('Парк (SAP)'!$D$11:$D$346="NTE")*('Парк (SAP)'!$H$11:$H$346&lt;=EOMONTH(A24,0))*('Парк (SAP)'!$J$11:$J$346&gt;=A24))</f>
        <v>16</v>
      </c>
      <c r="H24" s="32">
        <f>SUMPRODUCT(('Парк (SAP)'!$B$11:$B$346="Полюс Магадан")*('Парк (SAP)'!$D$11:$D$346="TR100")*('Парк (SAP)'!$H$11:$H$346&lt;=EOMONTH(A24,0))*('Парк (SAP)'!$J$11:$J$346&gt;=A24))</f>
        <v>0</v>
      </c>
      <c r="I24" s="32">
        <f>SUMPRODUCT(('Парк (SAP)'!$B$11:$B$346="Полюс Алдан")*('Парк (SAP)'!$D$11:$D$346="TR100")*('Парк (SAP)'!$H$11:$H$346&lt;=EOMONTH(A24,0))*('Парк (SAP)'!$J$11:$J$346&gt;=A24))</f>
        <v>17</v>
      </c>
      <c r="J24" s="33">
        <f>SUM(C24:I24)</f>
        <v>90</v>
      </c>
    </row>
    <row r="25">
      <c r="A25" s="31" t="n">
        <v>45931</v>
      </c>
      <c r="B25" s="32">
        <f>YEAR(A25)</f>
        <v>2025</v>
      </c>
      <c r="C25" s="32">
        <f>SUMPRODUCT(('Парк (SAP)'!$B$11:$B$346="Полюс Красноярск")*('Парк (SAP)'!$D$11:$D$346="NTE")*('Парк (SAP)'!$H$11:$H$346&lt;=EOMONTH(A25,0))*('Парк (SAP)'!$J$11:$J$346&gt;=A25))</f>
        <v>45</v>
      </c>
      <c r="D25" s="32">
        <f>SUMPRODUCT(('Парк (SAP)'!$B$11:$B$346="Полюс Красноярск")*('Парк (SAP)'!$D$11:$D$346="TR100")*('Парк (SAP)'!$H$11:$H$346&lt;=EOMONTH(A25,0))*('Парк (SAP)'!$J$11:$J$346&gt;=A25))</f>
        <v>4</v>
      </c>
      <c r="E25" s="32">
        <f>SUMPRODUCT(('Парк (SAP)'!$B$11:$B$346="Полюс Сухой Лог")*('Парк (SAP)'!$D$11:$D$346="NTE")*('Парк (SAP)'!$H$11:$H$346&lt;=EOMONTH(A25,0))*('Парк (SAP)'!$J$11:$J$346&gt;=A25))</f>
        <v>0</v>
      </c>
      <c r="F25" s="32">
        <f>SUMPRODUCT(('Парк (SAP)'!$B$11:$B$346="Полюс Сухой Лог")*('Парк (SAP)'!$D$11:$D$346="TR100")*('Парк (SAP)'!$H$11:$H$346&lt;=EOMONTH(A25,0))*('Парк (SAP)'!$J$11:$J$346&gt;=A25))</f>
        <v>9</v>
      </c>
      <c r="G25" s="32">
        <f>SUMPRODUCT(('Парк (SAP)'!$B$11:$B$346="Полюс Магадан")*('Парк (SAP)'!$D$11:$D$346="NTE")*('Парк (SAP)'!$H$11:$H$346&lt;=EOMONTH(A25,0))*('Парк (SAP)'!$J$11:$J$346&gt;=A25))</f>
        <v>19</v>
      </c>
      <c r="H25" s="32">
        <f>SUMPRODUCT(('Парк (SAP)'!$B$11:$B$346="Полюс Магадан")*('Парк (SAP)'!$D$11:$D$346="TR100")*('Парк (SAP)'!$H$11:$H$346&lt;=EOMONTH(A25,0))*('Парк (SAP)'!$J$11:$J$346&gt;=A25))</f>
        <v>0</v>
      </c>
      <c r="I25" s="32">
        <f>SUMPRODUCT(('Парк (SAP)'!$B$11:$B$346="Полюс Алдан")*('Парк (SAP)'!$D$11:$D$346="TR100")*('Парк (SAP)'!$H$11:$H$346&lt;=EOMONTH(A25,0))*('Парк (SAP)'!$J$11:$J$346&gt;=A25))</f>
        <v>17</v>
      </c>
      <c r="J25" s="33">
        <f>SUM(C25:I25)</f>
        <v>94</v>
      </c>
    </row>
    <row r="26">
      <c r="A26" s="31" t="n">
        <v>45962</v>
      </c>
      <c r="B26" s="32">
        <f>YEAR(A26)</f>
        <v>2025</v>
      </c>
      <c r="C26" s="32">
        <f>SUMPRODUCT(('Парк (SAP)'!$B$11:$B$346="Полюс Красноярск")*('Парк (SAP)'!$D$11:$D$346="NTE")*('Парк (SAP)'!$H$11:$H$346&lt;=EOMONTH(A26,0))*('Парк (SAP)'!$J$11:$J$346&gt;=A26))</f>
        <v>43</v>
      </c>
      <c r="D26" s="32">
        <f>SUMPRODUCT(('Парк (SAP)'!$B$11:$B$346="Полюс Красноярск")*('Парк (SAP)'!$D$11:$D$346="TR100")*('Парк (SAP)'!$H$11:$H$346&lt;=EOMONTH(A26,0))*('Парк (SAP)'!$J$11:$J$346&gt;=A26))</f>
        <v>4</v>
      </c>
      <c r="E26" s="32">
        <f>SUMPRODUCT(('Парк (SAP)'!$B$11:$B$346="Полюс Сухой Лог")*('Парк (SAP)'!$D$11:$D$346="NTE")*('Парк (SAP)'!$H$11:$H$346&lt;=EOMONTH(A26,0))*('Парк (SAP)'!$J$11:$J$346&gt;=A26))</f>
        <v>0</v>
      </c>
      <c r="F26" s="32">
        <f>SUMPRODUCT(('Парк (SAP)'!$B$11:$B$346="Полюс Сухой Лог")*('Парк (SAP)'!$D$11:$D$346="TR100")*('Парк (SAP)'!$H$11:$H$346&lt;=EOMONTH(A26,0))*('Парк (SAP)'!$J$11:$J$346&gt;=A26))</f>
        <v>9</v>
      </c>
      <c r="G26" s="32">
        <f>SUMPRODUCT(('Парк (SAP)'!$B$11:$B$346="Полюс Магадан")*('Парк (SAP)'!$D$11:$D$346="NTE")*('Парк (SAP)'!$H$11:$H$346&lt;=EOMONTH(A26,0))*('Парк (SAP)'!$J$11:$J$346&gt;=A26))</f>
        <v>20</v>
      </c>
      <c r="H26" s="32">
        <f>SUMPRODUCT(('Парк (SAP)'!$B$11:$B$346="Полюс Магадан")*('Парк (SAP)'!$D$11:$D$346="TR100")*('Парк (SAP)'!$H$11:$H$346&lt;=EOMONTH(A26,0))*('Парк (SAP)'!$J$11:$J$346&gt;=A26))</f>
        <v>0</v>
      </c>
      <c r="I26" s="32">
        <f>SUMPRODUCT(('Парк (SAP)'!$B$11:$B$346="Полюс Алдан")*('Парк (SAP)'!$D$11:$D$346="TR100")*('Парк (SAP)'!$H$11:$H$346&lt;=EOMONTH(A26,0))*('Парк (SAP)'!$J$11:$J$346&gt;=A26))</f>
        <v>17</v>
      </c>
      <c r="J26" s="33">
        <f>SUM(C26:I26)</f>
        <v>93</v>
      </c>
    </row>
    <row r="27">
      <c r="A27" s="31" t="n">
        <v>45992</v>
      </c>
      <c r="B27" s="32">
        <f>YEAR(A27)</f>
        <v>2025</v>
      </c>
      <c r="C27" s="32">
        <f>SUMPRODUCT(('Парк (SAP)'!$B$11:$B$346="Полюс Красноярск")*('Парк (SAP)'!$D$11:$D$346="NTE")*('Парк (SAP)'!$H$11:$H$346&lt;=EOMONTH(A27,0))*('Парк (SAP)'!$J$11:$J$346&gt;=A27))</f>
        <v>43</v>
      </c>
      <c r="D27" s="32">
        <f>SUMPRODUCT(('Парк (SAP)'!$B$11:$B$346="Полюс Красноярск")*('Парк (SAP)'!$D$11:$D$346="TR100")*('Парк (SAP)'!$H$11:$H$346&lt;=EOMONTH(A27,0))*('Парк (SAP)'!$J$11:$J$346&gt;=A27))</f>
        <v>4</v>
      </c>
      <c r="E27" s="32">
        <f>SUMPRODUCT(('Парк (SAP)'!$B$11:$B$346="Полюс Сухой Лог")*('Парк (SAP)'!$D$11:$D$346="NTE")*('Парк (SAP)'!$H$11:$H$346&lt;=EOMONTH(A27,0))*('Парк (SAP)'!$J$11:$J$346&gt;=A27))</f>
        <v>0</v>
      </c>
      <c r="F27" s="32">
        <f>SUMPRODUCT(('Парк (SAP)'!$B$11:$B$346="Полюс Сухой Лог")*('Парк (SAP)'!$D$11:$D$346="TR100")*('Парк (SAP)'!$H$11:$H$346&lt;=EOMONTH(A27,0))*('Парк (SAP)'!$J$11:$J$346&gt;=A27))</f>
        <v>9</v>
      </c>
      <c r="G27" s="32">
        <f>SUMPRODUCT(('Парк (SAP)'!$B$11:$B$346="Полюс Магадан")*('Парк (SAP)'!$D$11:$D$346="NTE")*('Парк (SAP)'!$H$11:$H$346&lt;=EOMONTH(A27,0))*('Парк (SAP)'!$J$11:$J$346&gt;=A27))</f>
        <v>27</v>
      </c>
      <c r="H27" s="32">
        <f>SUMPRODUCT(('Парк (SAP)'!$B$11:$B$346="Полюс Магадан")*('Парк (SAP)'!$D$11:$D$346="TR100")*('Парк (SAP)'!$H$11:$H$346&lt;=EOMONTH(A27,0))*('Парк (SAP)'!$J$11:$J$346&gt;=A27))</f>
        <v>0</v>
      </c>
      <c r="I27" s="32">
        <f>SUMPRODUCT(('Парк (SAP)'!$B$11:$B$346="Полюс Алдан")*('Парк (SAP)'!$D$11:$D$346="TR100")*('Парк (SAP)'!$H$11:$H$346&lt;=EOMONTH(A27,0))*('Парк (SAP)'!$J$11:$J$346&gt;=A27))</f>
        <v>17</v>
      </c>
      <c r="J27" s="33">
        <f>SUM(C27:I27)</f>
        <v>100</v>
      </c>
    </row>
    <row r="28">
      <c r="A28" s="31" t="n">
        <v>46023</v>
      </c>
      <c r="B28" s="32">
        <f>YEAR(A28)</f>
        <v>2026</v>
      </c>
      <c r="C28" s="32">
        <f>SUMPRODUCT(('Парк (SAP)'!$B$11:$B$346="Полюс Красноярск")*('Парк (SAP)'!$D$11:$D$346="NTE")*('Парк (SAP)'!$H$11:$H$346&lt;=EOMONTH(A28,0))*('Парк (SAP)'!$J$11:$J$346&gt;=A28))</f>
        <v>39</v>
      </c>
      <c r="D28" s="32">
        <f>SUMPRODUCT(('Парк (SAP)'!$B$11:$B$346="Полюс Красноярск")*('Парк (SAP)'!$D$11:$D$346="TR100")*('Парк (SAP)'!$H$11:$H$346&lt;=EOMONTH(A28,0))*('Парк (SAP)'!$J$11:$J$346&gt;=A28))</f>
        <v>8</v>
      </c>
      <c r="E28" s="32">
        <f>SUMPRODUCT(('Парк (SAP)'!$B$11:$B$346="Полюс Сухой Лог")*('Парк (SAP)'!$D$11:$D$346="NTE")*('Парк (SAP)'!$H$11:$H$346&lt;=EOMONTH(A28,0))*('Парк (SAP)'!$J$11:$J$346&gt;=A28))</f>
        <v>0</v>
      </c>
      <c r="F28" s="32">
        <f>SUMPRODUCT(('Парк (SAP)'!$B$11:$B$346="Полюс Сухой Лог")*('Парк (SAP)'!$D$11:$D$346="TR100")*('Парк (SAP)'!$H$11:$H$346&lt;=EOMONTH(A28,0))*('Парк (SAP)'!$J$11:$J$346&gt;=A28))</f>
        <v>9</v>
      </c>
      <c r="G28" s="32">
        <f>SUMPRODUCT(('Парк (SAP)'!$B$11:$B$346="Полюс Магадан")*('Парк (SAP)'!$D$11:$D$346="NTE")*('Парк (SAP)'!$H$11:$H$346&lt;=EOMONTH(A28,0))*('Парк (SAP)'!$J$11:$J$346&gt;=A28))</f>
        <v>25</v>
      </c>
      <c r="H28" s="32">
        <f>SUMPRODUCT(('Парк (SAP)'!$B$11:$B$346="Полюс Магадан")*('Парк (SAP)'!$D$11:$D$346="TR100")*('Парк (SAP)'!$H$11:$H$346&lt;=EOMONTH(A28,0))*('Парк (SAP)'!$J$11:$J$346&gt;=A28))</f>
        <v>0</v>
      </c>
      <c r="I28" s="32">
        <f>SUMPRODUCT(('Парк (SAP)'!$B$11:$B$346="Полюс Алдан")*('Парк (SAP)'!$D$11:$D$346="TR100")*('Парк (SAP)'!$H$11:$H$346&lt;=EOMONTH(A28,0))*('Парк (SAP)'!$J$11:$J$346&gt;=A28))</f>
        <v>19</v>
      </c>
      <c r="J28" s="33">
        <f>SUM(C28:I28)</f>
        <v>100</v>
      </c>
    </row>
    <row r="29">
      <c r="A29" s="31" t="n">
        <v>46054</v>
      </c>
      <c r="B29" s="32">
        <f>YEAR(A29)</f>
        <v>2026</v>
      </c>
      <c r="C29" s="32">
        <f>SUMPRODUCT(('Парк (SAP)'!$B$11:$B$346="Полюс Красноярск")*('Парк (SAP)'!$D$11:$D$346="NTE")*('Парк (SAP)'!$H$11:$H$346&lt;=EOMONTH(A29,0))*('Парк (SAP)'!$J$11:$J$346&gt;=A29))</f>
        <v>41</v>
      </c>
      <c r="D29" s="32">
        <f>SUMPRODUCT(('Парк (SAP)'!$B$11:$B$346="Полюс Красноярск")*('Парк (SAP)'!$D$11:$D$346="TR100")*('Парк (SAP)'!$H$11:$H$346&lt;=EOMONTH(A29,0))*('Парк (SAP)'!$J$11:$J$346&gt;=A29))</f>
        <v>10</v>
      </c>
      <c r="E29" s="32">
        <f>SUMPRODUCT(('Парк (SAP)'!$B$11:$B$346="Полюс Сухой Лог")*('Парк (SAP)'!$D$11:$D$346="NTE")*('Парк (SAP)'!$H$11:$H$346&lt;=EOMONTH(A29,0))*('Парк (SAP)'!$J$11:$J$346&gt;=A29))</f>
        <v>0</v>
      </c>
      <c r="F29" s="32">
        <f>SUMPRODUCT(('Парк (SAP)'!$B$11:$B$346="Полюс Сухой Лог")*('Парк (SAP)'!$D$11:$D$346="TR100")*('Парк (SAP)'!$H$11:$H$346&lt;=EOMONTH(A29,0))*('Парк (SAP)'!$J$11:$J$346&gt;=A29))</f>
        <v>9</v>
      </c>
      <c r="G29" s="32">
        <f>SUMPRODUCT(('Парк (SAP)'!$B$11:$B$346="Полюс Магадан")*('Парк (SAP)'!$D$11:$D$346="NTE")*('Парк (SAP)'!$H$11:$H$346&lt;=EOMONTH(A29,0))*('Парк (SAP)'!$J$11:$J$346&gt;=A29))</f>
        <v>19</v>
      </c>
      <c r="H29" s="32">
        <f>SUMPRODUCT(('Парк (SAP)'!$B$11:$B$346="Полюс Магадан")*('Парк (SAP)'!$D$11:$D$346="TR100")*('Парк (SAP)'!$H$11:$H$346&lt;=EOMONTH(A29,0))*('Парк (SAP)'!$J$11:$J$346&gt;=A29))</f>
        <v>0</v>
      </c>
      <c r="I29" s="32">
        <f>SUMPRODUCT(('Парк (SAP)'!$B$11:$B$346="Полюс Алдан")*('Парк (SAP)'!$D$11:$D$346="TR100")*('Парк (SAP)'!$H$11:$H$346&lt;=EOMONTH(A29,0))*('Парк (SAP)'!$J$11:$J$346&gt;=A29))</f>
        <v>22</v>
      </c>
      <c r="J29" s="33">
        <f>SUM(C29:I29)</f>
        <v>101</v>
      </c>
    </row>
    <row r="30">
      <c r="A30" s="31" t="n">
        <v>46082</v>
      </c>
      <c r="B30" s="32">
        <f>YEAR(A30)</f>
        <v>2026</v>
      </c>
      <c r="C30" s="32">
        <f>SUMPRODUCT(('Парк (SAP)'!$B$11:$B$346="Полюс Красноярск")*('Парк (SAP)'!$D$11:$D$346="NTE")*('Парк (SAP)'!$H$11:$H$346&lt;=EOMONTH(A30,0))*('Парк (SAP)'!$J$11:$J$346&gt;=A30))</f>
        <v>46</v>
      </c>
      <c r="D30" s="32">
        <f>SUMPRODUCT(('Парк (SAP)'!$B$11:$B$346="Полюс Красноярск")*('Парк (SAP)'!$D$11:$D$346="TR100")*('Парк (SAP)'!$H$11:$H$346&lt;=EOMONTH(A30,0))*('Парк (SAP)'!$J$11:$J$346&gt;=A30))</f>
        <v>12</v>
      </c>
      <c r="E30" s="32">
        <f>SUMPRODUCT(('Парк (SAP)'!$B$11:$B$346="Полюс Сухой Лог")*('Парк (SAP)'!$D$11:$D$346="NTE")*('Парк (SAP)'!$H$11:$H$346&lt;=EOMONTH(A30,0))*('Парк (SAP)'!$J$11:$J$346&gt;=A30))</f>
        <v>0</v>
      </c>
      <c r="F30" s="32">
        <f>SUMPRODUCT(('Парк (SAP)'!$B$11:$B$346="Полюс Сухой Лог")*('Парк (SAP)'!$D$11:$D$346="TR100")*('Парк (SAP)'!$H$11:$H$346&lt;=EOMONTH(A30,0))*('Парк (SAP)'!$J$11:$J$346&gt;=A30))</f>
        <v>9</v>
      </c>
      <c r="G30" s="32">
        <f>SUMPRODUCT(('Парк (SAP)'!$B$11:$B$346="Полюс Магадан")*('Парк (SAP)'!$D$11:$D$346="NTE")*('Парк (SAP)'!$H$11:$H$346&lt;=EOMONTH(A30,0))*('Парк (SAP)'!$J$11:$J$346&gt;=A30))</f>
        <v>13</v>
      </c>
      <c r="H30" s="32">
        <f>SUMPRODUCT(('Парк (SAP)'!$B$11:$B$346="Полюс Магадан")*('Парк (SAP)'!$D$11:$D$346="TR100")*('Парк (SAP)'!$H$11:$H$346&lt;=EOMONTH(A30,0))*('Парк (SAP)'!$J$11:$J$346&gt;=A30))</f>
        <v>2</v>
      </c>
      <c r="I30" s="32">
        <f>SUMPRODUCT(('Парк (SAP)'!$B$11:$B$346="Полюс Алдан")*('Парк (SAP)'!$D$11:$D$346="TR100")*('Парк (SAP)'!$H$11:$H$346&lt;=EOMONTH(A30,0))*('Парк (SAP)'!$J$11:$J$346&gt;=A30))</f>
        <v>22</v>
      </c>
      <c r="J30" s="33">
        <f>SUM(C30:I30)</f>
        <v>104</v>
      </c>
    </row>
    <row r="31">
      <c r="A31" s="31" t="n">
        <v>46113</v>
      </c>
      <c r="B31" s="32">
        <f>YEAR(A31)</f>
        <v>2026</v>
      </c>
      <c r="C31" s="32">
        <f>SUMPRODUCT(('Парк (SAP)'!$B$11:$B$346="Полюс Красноярск")*('Парк (SAP)'!$D$11:$D$346="NTE")*('Парк (SAP)'!$H$11:$H$346&lt;=EOMONTH(A31,0))*('Парк (SAP)'!$J$11:$J$346&gt;=A31))</f>
        <v>48</v>
      </c>
      <c r="D31" s="32">
        <f>SUMPRODUCT(('Парк (SAP)'!$B$11:$B$346="Полюс Красноярск")*('Парк (SAP)'!$D$11:$D$346="TR100")*('Парк (SAP)'!$H$11:$H$346&lt;=EOMONTH(A31,0))*('Парк (SAP)'!$J$11:$J$346&gt;=A31))</f>
        <v>14</v>
      </c>
      <c r="E31" s="32">
        <f>SUMPRODUCT(('Парк (SAP)'!$B$11:$B$346="Полюс Сухой Лог")*('Парк (SAP)'!$D$11:$D$346="NTE")*('Парк (SAP)'!$H$11:$H$346&lt;=EOMONTH(A31,0))*('Парк (SAP)'!$J$11:$J$346&gt;=A31))</f>
        <v>0</v>
      </c>
      <c r="F31" s="32">
        <f>SUMPRODUCT(('Парк (SAP)'!$B$11:$B$346="Полюс Сухой Лог")*('Парк (SAP)'!$D$11:$D$346="TR100")*('Парк (SAP)'!$H$11:$H$346&lt;=EOMONTH(A31,0))*('Парк (SAP)'!$J$11:$J$346&gt;=A31))</f>
        <v>9</v>
      </c>
      <c r="G31" s="32">
        <f>SUMPRODUCT(('Парк (SAP)'!$B$11:$B$346="Полюс Магадан")*('Парк (SAP)'!$D$11:$D$346="NTE")*('Парк (SAP)'!$H$11:$H$346&lt;=EOMONTH(A31,0))*('Парк (SAP)'!$J$11:$J$346&gt;=A31))</f>
        <v>11</v>
      </c>
      <c r="H31" s="32">
        <f>SUMPRODUCT(('Парк (SAP)'!$B$11:$B$346="Полюс Магадан")*('Парк (SAP)'!$D$11:$D$346="TR100")*('Парк (SAP)'!$H$11:$H$346&lt;=EOMONTH(A31,0))*('Парк (SAP)'!$J$11:$J$346&gt;=A31))</f>
        <v>3</v>
      </c>
      <c r="I31" s="32">
        <f>SUMPRODUCT(('Парк (SAP)'!$B$11:$B$346="Полюс Алдан")*('Парк (SAP)'!$D$11:$D$346="TR100")*('Парк (SAP)'!$H$11:$H$346&lt;=EOMONTH(A31,0))*('Парк (SAP)'!$J$11:$J$346&gt;=A31))</f>
        <v>22</v>
      </c>
      <c r="J31" s="33">
        <f>SUM(C31:I31)</f>
        <v>107</v>
      </c>
    </row>
    <row r="32">
      <c r="A32" s="31" t="n">
        <v>46143</v>
      </c>
      <c r="B32" s="32">
        <f>YEAR(A32)</f>
        <v>2026</v>
      </c>
      <c r="C32" s="32">
        <f>SUMPRODUCT(('Парк (SAP)'!$B$11:$B$346="Полюс Красноярск")*('Парк (SAP)'!$D$11:$D$346="NTE")*('Парк (SAP)'!$H$11:$H$346&lt;=EOMONTH(A32,0))*('Парк (SAP)'!$J$11:$J$346&gt;=A32))</f>
        <v>51</v>
      </c>
      <c r="D32" s="32">
        <f>SUMPRODUCT(('Парк (SAP)'!$B$11:$B$346="Полюс Красноярск")*('Парк (SAP)'!$D$11:$D$346="TR100")*('Парк (SAP)'!$H$11:$H$346&lt;=EOMONTH(A32,0))*('Парк (SAP)'!$J$11:$J$346&gt;=A32))</f>
        <v>14</v>
      </c>
      <c r="E32" s="32">
        <f>SUMPRODUCT(('Парк (SAP)'!$B$11:$B$346="Полюс Сухой Лог")*('Парк (SAP)'!$D$11:$D$346="NTE")*('Парк (SAP)'!$H$11:$H$346&lt;=EOMONTH(A32,0))*('Парк (SAP)'!$J$11:$J$346&gt;=A32))</f>
        <v>0</v>
      </c>
      <c r="F32" s="32">
        <f>SUMPRODUCT(('Парк (SAP)'!$B$11:$B$346="Полюс Сухой Лог")*('Парк (SAP)'!$D$11:$D$346="TR100")*('Парк (SAP)'!$H$11:$H$346&lt;=EOMONTH(A32,0))*('Парк (SAP)'!$J$11:$J$346&gt;=A32))</f>
        <v>9</v>
      </c>
      <c r="G32" s="32">
        <f>SUMPRODUCT(('Парк (SAP)'!$B$11:$B$346="Полюс Магадан")*('Парк (SAP)'!$D$11:$D$346="NTE")*('Парк (SAP)'!$H$11:$H$346&lt;=EOMONTH(A32,0))*('Парк (SAP)'!$J$11:$J$346&gt;=A32))</f>
        <v>11</v>
      </c>
      <c r="H32" s="32">
        <f>SUMPRODUCT(('Парк (SAP)'!$B$11:$B$346="Полюс Магадан")*('Парк (SAP)'!$D$11:$D$346="TR100")*('Парк (SAP)'!$H$11:$H$346&lt;=EOMONTH(A32,0))*('Парк (SAP)'!$J$11:$J$346&gt;=A32))</f>
        <v>3</v>
      </c>
      <c r="I32" s="32">
        <f>SUMPRODUCT(('Парк (SAP)'!$B$11:$B$346="Полюс Алдан")*('Парк (SAP)'!$D$11:$D$346="TR100")*('Парк (SAP)'!$H$11:$H$346&lt;=EOMONTH(A32,0))*('Парк (SAP)'!$J$11:$J$346&gt;=A32))</f>
        <v>22</v>
      </c>
      <c r="J32" s="33">
        <f>SUM(C32:I32)</f>
        <v>110</v>
      </c>
    </row>
    <row r="33">
      <c r="A33" s="31" t="n">
        <v>46174</v>
      </c>
      <c r="B33" s="32">
        <f>YEAR(A33)</f>
        <v>2026</v>
      </c>
      <c r="C33" s="32">
        <f>SUMPRODUCT(('Парк (SAP)'!$B$11:$B$346="Полюс Красноярск")*('Парк (SAP)'!$D$11:$D$346="NTE")*('Парк (SAP)'!$H$11:$H$346&lt;=EOMONTH(A33,0))*('Парк (SAP)'!$J$11:$J$346&gt;=A33))</f>
        <v>53</v>
      </c>
      <c r="D33" s="32">
        <f>SUMPRODUCT(('Парк (SAP)'!$B$11:$B$346="Полюс Красноярск")*('Парк (SAP)'!$D$11:$D$346="TR100")*('Парк (SAP)'!$H$11:$H$346&lt;=EOMONTH(A33,0))*('Парк (SAP)'!$J$11:$J$346&gt;=A33))</f>
        <v>14</v>
      </c>
      <c r="E33" s="32">
        <f>SUMPRODUCT(('Парк (SAP)'!$B$11:$B$346="Полюс Сухой Лог")*('Парк (SAP)'!$D$11:$D$346="NTE")*('Парк (SAP)'!$H$11:$H$346&lt;=EOMONTH(A33,0))*('Парк (SAP)'!$J$11:$J$346&gt;=A33))</f>
        <v>0</v>
      </c>
      <c r="F33" s="32">
        <f>SUMPRODUCT(('Парк (SAP)'!$B$11:$B$346="Полюс Сухой Лог")*('Парк (SAP)'!$D$11:$D$346="TR100")*('Парк (SAP)'!$H$11:$H$346&lt;=EOMONTH(A33,0))*('Парк (SAP)'!$J$11:$J$346&gt;=A33))</f>
        <v>7</v>
      </c>
      <c r="G33" s="32">
        <f>SUMPRODUCT(('Парк (SAP)'!$B$11:$B$346="Полюс Магадан")*('Парк (SAP)'!$D$11:$D$346="NTE")*('Парк (SAP)'!$H$11:$H$346&lt;=EOMONTH(A33,0))*('Парк (SAP)'!$J$11:$J$346&gt;=A33))</f>
        <v>11</v>
      </c>
      <c r="H33" s="32">
        <f>SUMPRODUCT(('Парк (SAP)'!$B$11:$B$346="Полюс Магадан")*('Парк (SAP)'!$D$11:$D$346="TR100")*('Парк (SAP)'!$H$11:$H$346&lt;=EOMONTH(A33,0))*('Парк (SAP)'!$J$11:$J$346&gt;=A33))</f>
        <v>3</v>
      </c>
      <c r="I33" s="32">
        <f>SUMPRODUCT(('Парк (SAP)'!$B$11:$B$346="Полюс Алдан")*('Парк (SAP)'!$D$11:$D$346="TR100")*('Парк (SAP)'!$H$11:$H$346&lt;=EOMONTH(A33,0))*('Парк (SAP)'!$J$11:$J$346&gt;=A33))</f>
        <v>22</v>
      </c>
      <c r="J33" s="33">
        <f>SUM(C33:I33)</f>
        <v>110</v>
      </c>
    </row>
    <row r="34">
      <c r="A34" s="31" t="n">
        <v>46204</v>
      </c>
      <c r="B34" s="32">
        <f>YEAR(A34)</f>
        <v>2026</v>
      </c>
      <c r="C34" s="32">
        <f>SUMPRODUCT(('Парк (SAP)'!$B$11:$B$346="Полюс Красноярск")*('Парк (SAP)'!$D$11:$D$346="NTE")*('Парк (SAP)'!$H$11:$H$346&lt;=EOMONTH(A34,0))*('Парк (SAP)'!$J$11:$J$346&gt;=A34))</f>
        <v>51</v>
      </c>
      <c r="D34" s="32">
        <f>SUMPRODUCT(('Парк (SAP)'!$B$11:$B$346="Полюс Красноярск")*('Парк (SAP)'!$D$11:$D$346="TR100")*('Парк (SAP)'!$H$11:$H$346&lt;=EOMONTH(A34,0))*('Парк (SAP)'!$J$11:$J$346&gt;=A34))</f>
        <v>14</v>
      </c>
      <c r="E34" s="32">
        <f>SUMPRODUCT(('Парк (SAP)'!$B$11:$B$346="Полюс Сухой Лог")*('Парк (SAP)'!$D$11:$D$346="NTE")*('Парк (SAP)'!$H$11:$H$346&lt;=EOMONTH(A34,0))*('Парк (SAP)'!$J$11:$J$346&gt;=A34))</f>
        <v>0</v>
      </c>
      <c r="F34" s="32">
        <f>SUMPRODUCT(('Парк (SAP)'!$B$11:$B$346="Полюс Сухой Лог")*('Парк (SAP)'!$D$11:$D$346="TR100")*('Парк (SAP)'!$H$11:$H$346&lt;=EOMONTH(A34,0))*('Парк (SAP)'!$J$11:$J$346&gt;=A34))</f>
        <v>7</v>
      </c>
      <c r="G34" s="32">
        <f>SUMPRODUCT(('Парк (SAP)'!$B$11:$B$346="Полюс Магадан")*('Парк (SAP)'!$D$11:$D$346="NTE")*('Парк (SAP)'!$H$11:$H$346&lt;=EOMONTH(A34,0))*('Парк (SAP)'!$J$11:$J$346&gt;=A34))</f>
        <v>11</v>
      </c>
      <c r="H34" s="32">
        <f>SUMPRODUCT(('Парк (SAP)'!$B$11:$B$346="Полюс Магадан")*('Парк (SAP)'!$D$11:$D$346="TR100")*('Парк (SAP)'!$H$11:$H$346&lt;=EOMONTH(A34,0))*('Парк (SAP)'!$J$11:$J$346&gt;=A34))</f>
        <v>3</v>
      </c>
      <c r="I34" s="32">
        <f>SUMPRODUCT(('Парк (SAP)'!$B$11:$B$346="Полюс Алдан")*('Парк (SAP)'!$D$11:$D$346="TR100")*('Парк (SAP)'!$H$11:$H$346&lt;=EOMONTH(A34,0))*('Парк (SAP)'!$J$11:$J$346&gt;=A34))</f>
        <v>22</v>
      </c>
      <c r="J34" s="33">
        <f>SUM(C34:I34)</f>
        <v>108</v>
      </c>
    </row>
    <row r="35">
      <c r="A35" s="31" t="n">
        <v>46235</v>
      </c>
      <c r="B35" s="32">
        <f>YEAR(A35)</f>
        <v>2026</v>
      </c>
      <c r="C35" s="32">
        <f>SUMPRODUCT(('Парк (SAP)'!$B$11:$B$346="Полюс Красноярск")*('Парк (SAP)'!$D$11:$D$346="NTE")*('Парк (SAP)'!$H$11:$H$346&lt;=EOMONTH(A35,0))*('Парк (SAP)'!$J$11:$J$346&gt;=A35))</f>
        <v>47</v>
      </c>
      <c r="D35" s="32">
        <f>SUMPRODUCT(('Парк (SAP)'!$B$11:$B$346="Полюс Красноярск")*('Парк (SAP)'!$D$11:$D$346="TR100")*('Парк (SAP)'!$H$11:$H$346&lt;=EOMONTH(A35,0))*('Парк (SAP)'!$J$11:$J$346&gt;=A35))</f>
        <v>14</v>
      </c>
      <c r="E35" s="32">
        <f>SUMPRODUCT(('Парк (SAP)'!$B$11:$B$346="Полюс Сухой Лог")*('Парк (SAP)'!$D$11:$D$346="NTE")*('Парк (SAP)'!$H$11:$H$346&lt;=EOMONTH(A35,0))*('Парк (SAP)'!$J$11:$J$346&gt;=A35))</f>
        <v>0</v>
      </c>
      <c r="F35" s="32">
        <f>SUMPRODUCT(('Парк (SAP)'!$B$11:$B$346="Полюс Сухой Лог")*('Парк (SAP)'!$D$11:$D$346="TR100")*('Парк (SAP)'!$H$11:$H$346&lt;=EOMONTH(A35,0))*('Парк (SAP)'!$J$11:$J$346&gt;=A35))</f>
        <v>0</v>
      </c>
      <c r="G35" s="32">
        <f>SUMPRODUCT(('Парк (SAP)'!$B$11:$B$346="Полюс Магадан")*('Парк (SAP)'!$D$11:$D$346="NTE")*('Парк (SAP)'!$H$11:$H$346&lt;=EOMONTH(A35,0))*('Парк (SAP)'!$J$11:$J$346&gt;=A35))</f>
        <v>11</v>
      </c>
      <c r="H35" s="32">
        <f>SUMPRODUCT(('Парк (SAP)'!$B$11:$B$346="Полюс Магадан")*('Парк (SAP)'!$D$11:$D$346="TR100")*('Парк (SAP)'!$H$11:$H$346&lt;=EOMONTH(A35,0))*('Парк (SAP)'!$J$11:$J$346&gt;=A35))</f>
        <v>3</v>
      </c>
      <c r="I35" s="32">
        <f>SUMPRODUCT(('Парк (SAP)'!$B$11:$B$346="Полюс Алдан")*('Парк (SAP)'!$D$11:$D$346="TR100")*('Парк (SAP)'!$H$11:$H$346&lt;=EOMONTH(A35,0))*('Парк (SAP)'!$J$11:$J$346&gt;=A35))</f>
        <v>22</v>
      </c>
      <c r="J35" s="33">
        <f>SUM(C35:I35)</f>
        <v>97</v>
      </c>
    </row>
    <row r="36">
      <c r="A36" s="31" t="n">
        <v>46266</v>
      </c>
      <c r="B36" s="32">
        <f>YEAR(A36)</f>
        <v>2026</v>
      </c>
      <c r="C36" s="32">
        <f>SUMPRODUCT(('Парк (SAP)'!$B$11:$B$346="Полюс Красноярск")*('Парк (SAP)'!$D$11:$D$346="NTE")*('Парк (SAP)'!$H$11:$H$346&lt;=EOMONTH(A36,0))*('Парк (SAP)'!$J$11:$J$346&gt;=A36))</f>
        <v>42</v>
      </c>
      <c r="D36" s="32">
        <f>SUMPRODUCT(('Парк (SAP)'!$B$11:$B$346="Полюс Красноярск")*('Парк (SAP)'!$D$11:$D$346="TR100")*('Парк (SAP)'!$H$11:$H$346&lt;=EOMONTH(A36,0))*('Парк (SAP)'!$J$11:$J$346&gt;=A36))</f>
        <v>16</v>
      </c>
      <c r="E36" s="32">
        <f>SUMPRODUCT(('Парк (SAP)'!$B$11:$B$346="Полюс Сухой Лог")*('Парк (SAP)'!$D$11:$D$346="NTE")*('Парк (SAP)'!$H$11:$H$346&lt;=EOMONTH(A36,0))*('Парк (SAP)'!$J$11:$J$346&gt;=A36))</f>
        <v>3</v>
      </c>
      <c r="F36" s="32">
        <f>SUMPRODUCT(('Парк (SAP)'!$B$11:$B$346="Полюс Сухой Лог")*('Парк (SAP)'!$D$11:$D$346="TR100")*('Парк (SAP)'!$H$11:$H$346&lt;=EOMONTH(A36,0))*('Парк (SAP)'!$J$11:$J$346&gt;=A36))</f>
        <v>0</v>
      </c>
      <c r="G36" s="32">
        <f>SUMPRODUCT(('Парк (SAP)'!$B$11:$B$346="Полюс Магадан")*('Парк (SAP)'!$D$11:$D$346="NTE")*('Парк (SAP)'!$H$11:$H$346&lt;=EOMONTH(A36,0))*('Парк (SAP)'!$J$11:$J$346&gt;=A36))</f>
        <v>11</v>
      </c>
      <c r="H36" s="32">
        <f>SUMPRODUCT(('Парк (SAP)'!$B$11:$B$346="Полюс Магадан")*('Парк (SAP)'!$D$11:$D$346="TR100")*('Парк (SAP)'!$H$11:$H$346&lt;=EOMONTH(A36,0))*('Парк (SAP)'!$J$11:$J$346&gt;=A36))</f>
        <v>3</v>
      </c>
      <c r="I36" s="32">
        <f>SUMPRODUCT(('Парк (SAP)'!$B$11:$B$346="Полюс Алдан")*('Парк (SAP)'!$D$11:$D$346="TR100")*('Парк (SAP)'!$H$11:$H$346&lt;=EOMONTH(A36,0))*('Парк (SAP)'!$J$11:$J$346&gt;=A36))</f>
        <v>22</v>
      </c>
      <c r="J36" s="33">
        <f>SUM(C36:I36)</f>
        <v>97</v>
      </c>
    </row>
    <row r="37">
      <c r="A37" s="31" t="n">
        <v>46296</v>
      </c>
      <c r="B37" s="32">
        <f>YEAR(A37)</f>
        <v>2026</v>
      </c>
      <c r="C37" s="32">
        <f>SUMPRODUCT(('Парк (SAP)'!$B$11:$B$346="Полюс Красноярск")*('Парк (SAP)'!$D$11:$D$346="NTE")*('Парк (SAP)'!$H$11:$H$346&lt;=EOMONTH(A37,0))*('Парк (SAP)'!$J$11:$J$346&gt;=A37))</f>
        <v>38</v>
      </c>
      <c r="D37" s="32">
        <f>SUMPRODUCT(('Парк (SAP)'!$B$11:$B$346="Полюс Красноярск")*('Парк (SAP)'!$D$11:$D$346="TR100")*('Парк (SAP)'!$H$11:$H$346&lt;=EOMONTH(A37,0))*('Парк (SAP)'!$J$11:$J$346&gt;=A37))</f>
        <v>18</v>
      </c>
      <c r="E37" s="32">
        <f>SUMPRODUCT(('Парк (SAP)'!$B$11:$B$346="Полюс Сухой Лог")*('Парк (SAP)'!$D$11:$D$346="NTE")*('Парк (SAP)'!$H$11:$H$346&lt;=EOMONTH(A37,0))*('Парк (SAP)'!$J$11:$J$346&gt;=A37))</f>
        <v>6</v>
      </c>
      <c r="F37" s="32">
        <f>SUMPRODUCT(('Парк (SAP)'!$B$11:$B$346="Полюс Сухой Лог")*('Парк (SAP)'!$D$11:$D$346="TR100")*('Парк (SAP)'!$H$11:$H$346&lt;=EOMONTH(A37,0))*('Парк (SAP)'!$J$11:$J$346&gt;=A37))</f>
        <v>0</v>
      </c>
      <c r="G37" s="32">
        <f>SUMPRODUCT(('Парк (SAP)'!$B$11:$B$346="Полюс Магадан")*('Парк (SAP)'!$D$11:$D$346="NTE")*('Парк (SAP)'!$H$11:$H$346&lt;=EOMONTH(A37,0))*('Парк (SAP)'!$J$11:$J$346&gt;=A37))</f>
        <v>11</v>
      </c>
      <c r="H37" s="32">
        <f>SUMPRODUCT(('Парк (SAP)'!$B$11:$B$346="Полюс Магадан")*('Парк (SAP)'!$D$11:$D$346="TR100")*('Парк (SAP)'!$H$11:$H$346&lt;=EOMONTH(A37,0))*('Парк (SAP)'!$J$11:$J$346&gt;=A37))</f>
        <v>7</v>
      </c>
      <c r="I37" s="32">
        <f>SUMPRODUCT(('Парк (SAP)'!$B$11:$B$346="Полюс Алдан")*('Парк (SAP)'!$D$11:$D$346="TR100")*('Парк (SAP)'!$H$11:$H$346&lt;=EOMONTH(A37,0))*('Парк (SAP)'!$J$11:$J$346&gt;=A37))</f>
        <v>22</v>
      </c>
      <c r="J37" s="33">
        <f>SUM(C37:I37)</f>
        <v>102</v>
      </c>
    </row>
    <row r="38">
      <c r="A38" s="31" t="n">
        <v>46327</v>
      </c>
      <c r="B38" s="32">
        <f>YEAR(A38)</f>
        <v>2026</v>
      </c>
      <c r="C38" s="32">
        <f>SUMPRODUCT(('Парк (SAP)'!$B$11:$B$346="Полюс Красноярск")*('Парк (SAP)'!$D$11:$D$346="NTE")*('Парк (SAP)'!$H$11:$H$346&lt;=EOMONTH(A38,0))*('Парк (SAP)'!$J$11:$J$346&gt;=A38))</f>
        <v>43</v>
      </c>
      <c r="D38" s="32">
        <f>SUMPRODUCT(('Парк (SAP)'!$B$11:$B$346="Полюс Красноярск")*('Парк (SAP)'!$D$11:$D$346="TR100")*('Парк (SAP)'!$H$11:$H$346&lt;=EOMONTH(A38,0))*('Парк (SAP)'!$J$11:$J$346&gt;=A38))</f>
        <v>22</v>
      </c>
      <c r="E38" s="32">
        <f>SUMPRODUCT(('Парк (SAP)'!$B$11:$B$346="Полюс Сухой Лог")*('Парк (SAP)'!$D$11:$D$346="NTE")*('Парк (SAP)'!$H$11:$H$346&lt;=EOMONTH(A38,0))*('Парк (SAP)'!$J$11:$J$346&gt;=A38))</f>
        <v>9</v>
      </c>
      <c r="F38" s="32">
        <f>SUMPRODUCT(('Парк (SAP)'!$B$11:$B$346="Полюс Сухой Лог")*('Парк (SAP)'!$D$11:$D$346="TR100")*('Парк (SAP)'!$H$11:$H$346&lt;=EOMONTH(A38,0))*('Парк (SAP)'!$J$11:$J$346&gt;=A38))</f>
        <v>0</v>
      </c>
      <c r="G38" s="32">
        <f>SUMPRODUCT(('Парк (SAP)'!$B$11:$B$346="Полюс Магадан")*('Парк (SAP)'!$D$11:$D$346="NTE")*('Парк (SAP)'!$H$11:$H$346&lt;=EOMONTH(A38,0))*('Парк (SAP)'!$J$11:$J$346&gt;=A38))</f>
        <v>11</v>
      </c>
      <c r="H38" s="32">
        <f>SUMPRODUCT(('Парк (SAP)'!$B$11:$B$346="Полюс Магадан")*('Парк (SAP)'!$D$11:$D$346="TR100")*('Парк (SAP)'!$H$11:$H$346&lt;=EOMONTH(A38,0))*('Парк (SAP)'!$J$11:$J$346&gt;=A38))</f>
        <v>7</v>
      </c>
      <c r="I38" s="32">
        <f>SUMPRODUCT(('Парк (SAP)'!$B$11:$B$346="Полюс Алдан")*('Парк (SAP)'!$D$11:$D$346="TR100")*('Парк (SAP)'!$H$11:$H$346&lt;=EOMONTH(A38,0))*('Парк (SAP)'!$J$11:$J$346&gt;=A38))</f>
        <v>22</v>
      </c>
      <c r="J38" s="33">
        <f>SUM(C38:I38)</f>
        <v>114</v>
      </c>
    </row>
    <row r="39">
      <c r="A39" s="31" t="n">
        <v>46357</v>
      </c>
      <c r="B39" s="32">
        <f>YEAR(A39)</f>
        <v>2026</v>
      </c>
      <c r="C39" s="32">
        <f>SUMPRODUCT(('Парк (SAP)'!$B$11:$B$346="Полюс Красноярск")*('Парк (SAP)'!$D$11:$D$346="NTE")*('Парк (SAP)'!$H$11:$H$346&lt;=EOMONTH(A39,0))*('Парк (SAP)'!$J$11:$J$346&gt;=A39))</f>
        <v>49</v>
      </c>
      <c r="D39" s="32">
        <f>SUMPRODUCT(('Парк (SAP)'!$B$11:$B$346="Полюс Красноярск")*('Парк (SAP)'!$D$11:$D$346="TR100")*('Парк (SAP)'!$H$11:$H$346&lt;=EOMONTH(A39,0))*('Парк (SAP)'!$J$11:$J$346&gt;=A39))</f>
        <v>22</v>
      </c>
      <c r="E39" s="32">
        <f>SUMPRODUCT(('Парк (SAP)'!$B$11:$B$346="Полюс Сухой Лог")*('Парк (SAP)'!$D$11:$D$346="NTE")*('Парк (SAP)'!$H$11:$H$346&lt;=EOMONTH(A39,0))*('Парк (SAP)'!$J$11:$J$346&gt;=A39))</f>
        <v>9</v>
      </c>
      <c r="F39" s="32">
        <f>SUMPRODUCT(('Парк (SAP)'!$B$11:$B$346="Полюс Сухой Лог")*('Парк (SAP)'!$D$11:$D$346="TR100")*('Парк (SAP)'!$H$11:$H$346&lt;=EOMONTH(A39,0))*('Парк (SAP)'!$J$11:$J$346&gt;=A39))</f>
        <v>0</v>
      </c>
      <c r="G39" s="32">
        <f>SUMPRODUCT(('Парк (SAP)'!$B$11:$B$346="Полюс Магадан")*('Парк (SAP)'!$D$11:$D$346="NTE")*('Парк (SAP)'!$H$11:$H$346&lt;=EOMONTH(A39,0))*('Парк (SAP)'!$J$11:$J$346&gt;=A39))</f>
        <v>11</v>
      </c>
      <c r="H39" s="32">
        <f>SUMPRODUCT(('Парк (SAP)'!$B$11:$B$346="Полюс Магадан")*('Парк (SAP)'!$D$11:$D$346="TR100")*('Парк (SAP)'!$H$11:$H$346&lt;=EOMONTH(A39,0))*('Парк (SAP)'!$J$11:$J$346&gt;=A39))</f>
        <v>7</v>
      </c>
      <c r="I39" s="32">
        <f>SUMPRODUCT(('Парк (SAP)'!$B$11:$B$346="Полюс Алдан")*('Парк (SAP)'!$D$11:$D$346="TR100")*('Парк (SAP)'!$H$11:$H$346&lt;=EOMONTH(A39,0))*('Парк (SAP)'!$J$11:$J$346&gt;=A39))</f>
        <v>22</v>
      </c>
      <c r="J39" s="33">
        <f>SUM(C39:I39)</f>
        <v>120</v>
      </c>
    </row>
    <row r="40">
      <c r="A40" s="31" t="n">
        <v>46388</v>
      </c>
      <c r="B40" s="32">
        <f>YEAR(A40)</f>
        <v>2027</v>
      </c>
      <c r="C40" s="32">
        <f>SUMPRODUCT(('Парк (SAP)'!$B$11:$B$346="Полюс Красноярск")*('Парк (SAP)'!$D$11:$D$346="NTE")*('Парк (SAP)'!$H$11:$H$346&lt;=EOMONTH(A40,0))*('Парк (SAP)'!$J$11:$J$346&gt;=A40))</f>
        <v>51</v>
      </c>
      <c r="D40" s="32">
        <f>SUMPRODUCT(('Парк (SAP)'!$B$11:$B$346="Полюс Красноярск")*('Парк (SAP)'!$D$11:$D$346="TR100")*('Парк (SAP)'!$H$11:$H$346&lt;=EOMONTH(A40,0))*('Парк (SAP)'!$J$11:$J$346&gt;=A40))</f>
        <v>22</v>
      </c>
      <c r="E40" s="32">
        <f>SUMPRODUCT(('Парк (SAP)'!$B$11:$B$346="Полюс Сухой Лог")*('Парк (SAP)'!$D$11:$D$346="NTE")*('Парк (SAP)'!$H$11:$H$346&lt;=EOMONTH(A40,0))*('Парк (SAP)'!$J$11:$J$346&gt;=A40))</f>
        <v>9</v>
      </c>
      <c r="F40" s="32">
        <f>SUMPRODUCT(('Парк (SAP)'!$B$11:$B$346="Полюс Сухой Лог")*('Парк (SAP)'!$D$11:$D$346="TR100")*('Парк (SAP)'!$H$11:$H$346&lt;=EOMONTH(A40,0))*('Парк (SAP)'!$J$11:$J$346&gt;=A40))</f>
        <v>0</v>
      </c>
      <c r="G40" s="32">
        <f>SUMPRODUCT(('Парк (SAP)'!$B$11:$B$346="Полюс Магадан")*('Парк (SAP)'!$D$11:$D$346="NTE")*('Парк (SAP)'!$H$11:$H$346&lt;=EOMONTH(A40,0))*('Парк (SAP)'!$J$11:$J$346&gt;=A40))</f>
        <v>15</v>
      </c>
      <c r="H40" s="32">
        <f>SUMPRODUCT(('Парк (SAP)'!$B$11:$B$346="Полюс Магадан")*('Парк (SAP)'!$D$11:$D$346="TR100")*('Парк (SAP)'!$H$11:$H$346&lt;=EOMONTH(A40,0))*('Парк (SAP)'!$J$11:$J$346&gt;=A40))</f>
        <v>7</v>
      </c>
      <c r="I40" s="32">
        <f>SUMPRODUCT(('Парк (SAP)'!$B$11:$B$346="Полюс Алдан")*('Парк (SAP)'!$D$11:$D$346="TR100")*('Парк (SAP)'!$H$11:$H$346&lt;=EOMONTH(A40,0))*('Парк (SAP)'!$J$11:$J$346&gt;=A40))</f>
        <v>24</v>
      </c>
      <c r="J40" s="33">
        <f>SUM(C40:I40)</f>
        <v>128</v>
      </c>
    </row>
    <row r="41">
      <c r="A41" s="31" t="n">
        <v>46419</v>
      </c>
      <c r="B41" s="32">
        <f>YEAR(A41)</f>
        <v>2027</v>
      </c>
      <c r="C41" s="32">
        <f>SUMPRODUCT(('Парк (SAP)'!$B$11:$B$346="Полюс Красноярск")*('Парк (SAP)'!$D$11:$D$346="NTE")*('Парк (SAP)'!$H$11:$H$346&lt;=EOMONTH(A41,0))*('Парк (SAP)'!$J$11:$J$346&gt;=A41))</f>
        <v>51</v>
      </c>
      <c r="D41" s="32">
        <f>SUMPRODUCT(('Парк (SAP)'!$B$11:$B$346="Полюс Красноярск")*('Парк (SAP)'!$D$11:$D$346="TR100")*('Парк (SAP)'!$H$11:$H$346&lt;=EOMONTH(A41,0))*('Парк (SAP)'!$J$11:$J$346&gt;=A41))</f>
        <v>22</v>
      </c>
      <c r="E41" s="32">
        <f>SUMPRODUCT(('Парк (SAP)'!$B$11:$B$346="Полюс Сухой Лог")*('Парк (SAP)'!$D$11:$D$346="NTE")*('Парк (SAP)'!$H$11:$H$346&lt;=EOMONTH(A41,0))*('Парк (SAP)'!$J$11:$J$346&gt;=A41))</f>
        <v>9</v>
      </c>
      <c r="F41" s="32">
        <f>SUMPRODUCT(('Парк (SAP)'!$B$11:$B$346="Полюс Сухой Лог")*('Парк (SAP)'!$D$11:$D$346="TR100")*('Парк (SAP)'!$H$11:$H$346&lt;=EOMONTH(A41,0))*('Парк (SAP)'!$J$11:$J$346&gt;=A41))</f>
        <v>0</v>
      </c>
      <c r="G41" s="32">
        <f>SUMPRODUCT(('Парк (SAP)'!$B$11:$B$346="Полюс Магадан")*('Парк (SAP)'!$D$11:$D$346="NTE")*('Парк (SAP)'!$H$11:$H$346&lt;=EOMONTH(A41,0))*('Парк (SAP)'!$J$11:$J$346&gt;=A41))</f>
        <v>18</v>
      </c>
      <c r="H41" s="32">
        <f>SUMPRODUCT(('Парк (SAP)'!$B$11:$B$346="Полюс Магадан")*('Парк (SAP)'!$D$11:$D$346="TR100")*('Парк (SAP)'!$H$11:$H$346&lt;=EOMONTH(A41,0))*('Парк (SAP)'!$J$11:$J$346&gt;=A41))</f>
        <v>7</v>
      </c>
      <c r="I41" s="32">
        <f>SUMPRODUCT(('Парк (SAP)'!$B$11:$B$346="Полюс Алдан")*('Парк (SAP)'!$D$11:$D$346="TR100")*('Парк (SAP)'!$H$11:$H$346&lt;=EOMONTH(A41,0))*('Парк (SAP)'!$J$11:$J$346&gt;=A41))</f>
        <v>28</v>
      </c>
      <c r="J41" s="33">
        <f>SUM(C41:I41)</f>
        <v>135</v>
      </c>
    </row>
    <row r="42">
      <c r="A42" s="31" t="n">
        <v>46447</v>
      </c>
      <c r="B42" s="32">
        <f>YEAR(A42)</f>
        <v>2027</v>
      </c>
      <c r="C42" s="32">
        <f>SUMPRODUCT(('Парк (SAP)'!$B$11:$B$346="Полюс Красноярск")*('Парк (SAP)'!$D$11:$D$346="NTE")*('Парк (SAP)'!$H$11:$H$346&lt;=EOMONTH(A42,0))*('Парк (SAP)'!$J$11:$J$346&gt;=A42))</f>
        <v>51</v>
      </c>
      <c r="D42" s="32">
        <f>SUMPRODUCT(('Парк (SAP)'!$B$11:$B$346="Полюс Красноярск")*('Парк (SAP)'!$D$11:$D$346="TR100")*('Парк (SAP)'!$H$11:$H$346&lt;=EOMONTH(A42,0))*('Парк (SAP)'!$J$11:$J$346&gt;=A42))</f>
        <v>22</v>
      </c>
      <c r="E42" s="32">
        <f>SUMPRODUCT(('Парк (SAP)'!$B$11:$B$346="Полюс Сухой Лог")*('Парк (SAP)'!$D$11:$D$346="NTE")*('Парк (SAP)'!$H$11:$H$346&lt;=EOMONTH(A42,0))*('Парк (SAP)'!$J$11:$J$346&gt;=A42))</f>
        <v>9</v>
      </c>
      <c r="F42" s="32">
        <f>SUMPRODUCT(('Парк (SAP)'!$B$11:$B$346="Полюс Сухой Лог")*('Парк (SAP)'!$D$11:$D$346="TR100")*('Парк (SAP)'!$H$11:$H$346&lt;=EOMONTH(A42,0))*('Парк (SAP)'!$J$11:$J$346&gt;=A42))</f>
        <v>0</v>
      </c>
      <c r="G42" s="32">
        <f>SUMPRODUCT(('Парк (SAP)'!$B$11:$B$346="Полюс Магадан")*('Парк (SAP)'!$D$11:$D$346="NTE")*('Парк (SAP)'!$H$11:$H$346&lt;=EOMONTH(A42,0))*('Парк (SAP)'!$J$11:$J$346&gt;=A42))</f>
        <v>18</v>
      </c>
      <c r="H42" s="32">
        <f>SUMPRODUCT(('Парк (SAP)'!$B$11:$B$346="Полюс Магадан")*('Парк (SAP)'!$D$11:$D$346="TR100")*('Парк (SAP)'!$H$11:$H$346&lt;=EOMONTH(A42,0))*('Парк (SAP)'!$J$11:$J$346&gt;=A42))</f>
        <v>7</v>
      </c>
      <c r="I42" s="32">
        <f>SUMPRODUCT(('Парк (SAP)'!$B$11:$B$346="Полюс Алдан")*('Парк (SAP)'!$D$11:$D$346="TR100")*('Парк (SAP)'!$H$11:$H$346&lt;=EOMONTH(A42,0))*('Парк (SAP)'!$J$11:$J$346&gt;=A42))</f>
        <v>28</v>
      </c>
      <c r="J42" s="33">
        <f>SUM(C42:I42)</f>
        <v>135</v>
      </c>
    </row>
    <row r="43">
      <c r="A43" s="31" t="n">
        <v>46478</v>
      </c>
      <c r="B43" s="32">
        <f>YEAR(A43)</f>
        <v>2027</v>
      </c>
      <c r="C43" s="32">
        <f>SUMPRODUCT(('Парк (SAP)'!$B$11:$B$346="Полюс Красноярск")*('Парк (SAP)'!$D$11:$D$346="NTE")*('Парк (SAP)'!$H$11:$H$346&lt;=EOMONTH(A43,0))*('Парк (SAP)'!$J$11:$J$346&gt;=A43))</f>
        <v>51</v>
      </c>
      <c r="D43" s="32">
        <f>SUMPRODUCT(('Парк (SAP)'!$B$11:$B$346="Полюс Красноярск")*('Парк (SAP)'!$D$11:$D$346="TR100")*('Парк (SAP)'!$H$11:$H$346&lt;=EOMONTH(A43,0))*('Парк (SAP)'!$J$11:$J$346&gt;=A43))</f>
        <v>22</v>
      </c>
      <c r="E43" s="32">
        <f>SUMPRODUCT(('Парк (SAP)'!$B$11:$B$346="Полюс Сухой Лог")*('Парк (SAP)'!$D$11:$D$346="NTE")*('Парк (SAP)'!$H$11:$H$346&lt;=EOMONTH(A43,0))*('Парк (SAP)'!$J$11:$J$346&gt;=A43))</f>
        <v>13</v>
      </c>
      <c r="F43" s="32">
        <f>SUMPRODUCT(('Парк (SAP)'!$B$11:$B$346="Полюс Сухой Лог")*('Парк (SAP)'!$D$11:$D$346="TR100")*('Парк (SAP)'!$H$11:$H$346&lt;=EOMONTH(A43,0))*('Парк (SAP)'!$J$11:$J$346&gt;=A43))</f>
        <v>0</v>
      </c>
      <c r="G43" s="32">
        <f>SUMPRODUCT(('Парк (SAP)'!$B$11:$B$346="Полюс Магадан")*('Парк (SAP)'!$D$11:$D$346="NTE")*('Парк (SAP)'!$H$11:$H$346&lt;=EOMONTH(A43,0))*('Парк (SAP)'!$J$11:$J$346&gt;=A43))</f>
        <v>18</v>
      </c>
      <c r="H43" s="32">
        <f>SUMPRODUCT(('Парк (SAP)'!$B$11:$B$346="Полюс Магадан")*('Парк (SAP)'!$D$11:$D$346="TR100")*('Парк (SAP)'!$H$11:$H$346&lt;=EOMONTH(A43,0))*('Парк (SAP)'!$J$11:$J$346&gt;=A43))</f>
        <v>7</v>
      </c>
      <c r="I43" s="32">
        <f>SUMPRODUCT(('Парк (SAP)'!$B$11:$B$346="Полюс Алдан")*('Парк (SAP)'!$D$11:$D$346="TR100")*('Парк (SAP)'!$H$11:$H$346&lt;=EOMONTH(A43,0))*('Парк (SAP)'!$J$11:$J$346&gt;=A43))</f>
        <v>25</v>
      </c>
      <c r="J43" s="33">
        <f>SUM(C43:I43)</f>
        <v>136</v>
      </c>
    </row>
    <row r="44">
      <c r="A44" s="31" t="n">
        <v>46508</v>
      </c>
      <c r="B44" s="32">
        <f>YEAR(A44)</f>
        <v>2027</v>
      </c>
      <c r="C44" s="32">
        <f>SUMPRODUCT(('Парк (SAP)'!$B$11:$B$346="Полюс Красноярск")*('Парк (SAP)'!$D$11:$D$346="NTE")*('Парк (SAP)'!$H$11:$H$346&lt;=EOMONTH(A44,0))*('Парк (SAP)'!$J$11:$J$346&gt;=A44))</f>
        <v>51</v>
      </c>
      <c r="D44" s="32">
        <f>SUMPRODUCT(('Парк (SAP)'!$B$11:$B$346="Полюс Красноярск")*('Парк (SAP)'!$D$11:$D$346="TR100")*('Парк (SAP)'!$H$11:$H$346&lt;=EOMONTH(A44,0))*('Парк (SAP)'!$J$11:$J$346&gt;=A44))</f>
        <v>22</v>
      </c>
      <c r="E44" s="32">
        <f>SUMPRODUCT(('Парк (SAP)'!$B$11:$B$346="Полюс Сухой Лог")*('Парк (SAP)'!$D$11:$D$346="NTE")*('Парк (SAP)'!$H$11:$H$346&lt;=EOMONTH(A44,0))*('Парк (SAP)'!$J$11:$J$346&gt;=A44))</f>
        <v>17</v>
      </c>
      <c r="F44" s="32">
        <f>SUMPRODUCT(('Парк (SAP)'!$B$11:$B$346="Полюс Сухой Лог")*('Парк (SAP)'!$D$11:$D$346="TR100")*('Парк (SAP)'!$H$11:$H$346&lt;=EOMONTH(A44,0))*('Парк (SAP)'!$J$11:$J$346&gt;=A44))</f>
        <v>0</v>
      </c>
      <c r="G44" s="32">
        <f>SUMPRODUCT(('Парк (SAP)'!$B$11:$B$346="Полюс Магадан")*('Парк (SAP)'!$D$11:$D$346="NTE")*('Парк (SAP)'!$H$11:$H$346&lt;=EOMONTH(A44,0))*('Парк (SAP)'!$J$11:$J$346&gt;=A44))</f>
        <v>18</v>
      </c>
      <c r="H44" s="32">
        <f>SUMPRODUCT(('Парк (SAP)'!$B$11:$B$346="Полюс Магадан")*('Парк (SAP)'!$D$11:$D$346="TR100")*('Парк (SAP)'!$H$11:$H$346&lt;=EOMONTH(A44,0))*('Парк (SAP)'!$J$11:$J$346&gt;=A44))</f>
        <v>7</v>
      </c>
      <c r="I44" s="32">
        <f>SUMPRODUCT(('Парк (SAP)'!$B$11:$B$346="Полюс Алдан")*('Парк (SAP)'!$D$11:$D$346="TR100")*('Парк (SAP)'!$H$11:$H$346&lt;=EOMONTH(A44,0))*('Парк (SAP)'!$J$11:$J$346&gt;=A44))</f>
        <v>23</v>
      </c>
      <c r="J44" s="33">
        <f>SUM(C44:I44)</f>
        <v>138</v>
      </c>
    </row>
    <row r="45">
      <c r="A45" s="31" t="n">
        <v>46539</v>
      </c>
      <c r="B45" s="32">
        <f>YEAR(A45)</f>
        <v>2027</v>
      </c>
      <c r="C45" s="32">
        <f>SUMPRODUCT(('Парк (SAP)'!$B$11:$B$346="Полюс Красноярск")*('Парк (SAP)'!$D$11:$D$346="NTE")*('Парк (SAP)'!$H$11:$H$346&lt;=EOMONTH(A45,0))*('Парк (SAP)'!$J$11:$J$346&gt;=A45))</f>
        <v>51</v>
      </c>
      <c r="D45" s="32">
        <f>SUMPRODUCT(('Парк (SAP)'!$B$11:$B$346="Полюс Красноярск")*('Парк (SAP)'!$D$11:$D$346="TR100")*('Парк (SAP)'!$H$11:$H$346&lt;=EOMONTH(A45,0))*('Парк (SAP)'!$J$11:$J$346&gt;=A45))</f>
        <v>22</v>
      </c>
      <c r="E45" s="32">
        <f>SUMPRODUCT(('Парк (SAP)'!$B$11:$B$346="Полюс Сухой Лог")*('Парк (SAP)'!$D$11:$D$346="NTE")*('Парк (SAP)'!$H$11:$H$346&lt;=EOMONTH(A45,0))*('Парк (SAP)'!$J$11:$J$346&gt;=A45))</f>
        <v>21</v>
      </c>
      <c r="F45" s="32">
        <f>SUMPRODUCT(('Парк (SAP)'!$B$11:$B$346="Полюс Сухой Лог")*('Парк (SAP)'!$D$11:$D$346="TR100")*('Парк (SAP)'!$H$11:$H$346&lt;=EOMONTH(A45,0))*('Парк (SAP)'!$J$11:$J$346&gt;=A45))</f>
        <v>0</v>
      </c>
      <c r="G45" s="32">
        <f>SUMPRODUCT(('Парк (SAP)'!$B$11:$B$346="Полюс Магадан")*('Парк (SAP)'!$D$11:$D$346="NTE")*('Парк (SAP)'!$H$11:$H$346&lt;=EOMONTH(A45,0))*('Парк (SAP)'!$J$11:$J$346&gt;=A45))</f>
        <v>18</v>
      </c>
      <c r="H45" s="32">
        <f>SUMPRODUCT(('Парк (SAP)'!$B$11:$B$346="Полюс Магадан")*('Парк (SAP)'!$D$11:$D$346="TR100")*('Парк (SAP)'!$H$11:$H$346&lt;=EOMONTH(A45,0))*('Парк (SAP)'!$J$11:$J$346&gt;=A45))</f>
        <v>7</v>
      </c>
      <c r="I45" s="32">
        <f>SUMPRODUCT(('Парк (SAP)'!$B$11:$B$346="Полюс Алдан")*('Парк (SAP)'!$D$11:$D$346="TR100")*('Парк (SAP)'!$H$11:$H$346&lt;=EOMONTH(A45,0))*('Парк (SAP)'!$J$11:$J$346&gt;=A45))</f>
        <v>23</v>
      </c>
      <c r="J45" s="33">
        <f>SUM(C45:I45)</f>
        <v>142</v>
      </c>
    </row>
    <row r="46">
      <c r="A46" s="31" t="n">
        <v>46569</v>
      </c>
      <c r="B46" s="32">
        <f>YEAR(A46)</f>
        <v>2027</v>
      </c>
      <c r="C46" s="32">
        <f>SUMPRODUCT(('Парк (SAP)'!$B$11:$B$346="Полюс Красноярск")*('Парк (SAP)'!$D$11:$D$346="NTE")*('Парк (SAP)'!$H$11:$H$346&lt;=EOMONTH(A46,0))*('Парк (SAP)'!$J$11:$J$346&gt;=A46))</f>
        <v>51</v>
      </c>
      <c r="D46" s="32">
        <f>SUMPRODUCT(('Парк (SAP)'!$B$11:$B$346="Полюс Красноярск")*('Парк (SAP)'!$D$11:$D$346="TR100")*('Парк (SAP)'!$H$11:$H$346&lt;=EOMONTH(A46,0))*('Парк (SAP)'!$J$11:$J$346&gt;=A46))</f>
        <v>22</v>
      </c>
      <c r="E46" s="32">
        <f>SUMPRODUCT(('Парк (SAP)'!$B$11:$B$346="Полюс Сухой Лог")*('Парк (SAP)'!$D$11:$D$346="NTE")*('Парк (SAP)'!$H$11:$H$346&lt;=EOMONTH(A46,0))*('Парк (SAP)'!$J$11:$J$346&gt;=A46))</f>
        <v>24</v>
      </c>
      <c r="F46" s="32">
        <f>SUMPRODUCT(('Парк (SAP)'!$B$11:$B$346="Полюс Сухой Лог")*('Парк (SAP)'!$D$11:$D$346="TR100")*('Парк (SAP)'!$H$11:$H$346&lt;=EOMONTH(A46,0))*('Парк (SAP)'!$J$11:$J$346&gt;=A46))</f>
        <v>0</v>
      </c>
      <c r="G46" s="32">
        <f>SUMPRODUCT(('Парк (SAP)'!$B$11:$B$346="Полюс Магадан")*('Парк (SAP)'!$D$11:$D$346="NTE")*('Парк (SAP)'!$H$11:$H$346&lt;=EOMONTH(A46,0))*('Парк (SAP)'!$J$11:$J$346&gt;=A46))</f>
        <v>18</v>
      </c>
      <c r="H46" s="32">
        <f>SUMPRODUCT(('Парк (SAP)'!$B$11:$B$346="Полюс Магадан")*('Парк (SAP)'!$D$11:$D$346="TR100")*('Парк (SAP)'!$H$11:$H$346&lt;=EOMONTH(A46,0))*('Парк (SAP)'!$J$11:$J$346&gt;=A46))</f>
        <v>7</v>
      </c>
      <c r="I46" s="32">
        <f>SUMPRODUCT(('Парк (SAP)'!$B$11:$B$346="Полюс Алдан")*('Парк (SAP)'!$D$11:$D$346="TR100")*('Парк (SAP)'!$H$11:$H$346&lt;=EOMONTH(A46,0))*('Парк (SAP)'!$J$11:$J$346&gt;=A46))</f>
        <v>23</v>
      </c>
      <c r="J46" s="33">
        <f>SUM(C46:I46)</f>
        <v>145</v>
      </c>
    </row>
    <row r="47">
      <c r="A47" s="31" t="n">
        <v>46600</v>
      </c>
      <c r="B47" s="32">
        <f>YEAR(A47)</f>
        <v>2027</v>
      </c>
      <c r="C47" s="32">
        <f>SUMPRODUCT(('Парк (SAP)'!$B$11:$B$346="Полюс Красноярск")*('Парк (SAP)'!$D$11:$D$346="NTE")*('Парк (SAP)'!$H$11:$H$346&lt;=EOMONTH(A47,0))*('Парк (SAP)'!$J$11:$J$346&gt;=A47))</f>
        <v>51</v>
      </c>
      <c r="D47" s="32">
        <f>SUMPRODUCT(('Парк (SAP)'!$B$11:$B$346="Полюс Красноярск")*('Парк (SAP)'!$D$11:$D$346="TR100")*('Парк (SAP)'!$H$11:$H$346&lt;=EOMONTH(A47,0))*('Парк (SAP)'!$J$11:$J$346&gt;=A47))</f>
        <v>22</v>
      </c>
      <c r="E47" s="32">
        <f>SUMPRODUCT(('Парк (SAP)'!$B$11:$B$346="Полюс Сухой Лог")*('Парк (SAP)'!$D$11:$D$346="NTE")*('Парк (SAP)'!$H$11:$H$346&lt;=EOMONTH(A47,0))*('Парк (SAP)'!$J$11:$J$346&gt;=A47))</f>
        <v>28</v>
      </c>
      <c r="F47" s="32">
        <f>SUMPRODUCT(('Парк (SAP)'!$B$11:$B$346="Полюс Сухой Лог")*('Парк (SAP)'!$D$11:$D$346="TR100")*('Парк (SAP)'!$H$11:$H$346&lt;=EOMONTH(A47,0))*('Парк (SAP)'!$J$11:$J$346&gt;=A47))</f>
        <v>0</v>
      </c>
      <c r="G47" s="32">
        <f>SUMPRODUCT(('Парк (SAP)'!$B$11:$B$346="Полюс Магадан")*('Парк (SAP)'!$D$11:$D$346="NTE")*('Парк (SAP)'!$H$11:$H$346&lt;=EOMONTH(A47,0))*('Парк (SAP)'!$J$11:$J$346&gt;=A47))</f>
        <v>19</v>
      </c>
      <c r="H47" s="32">
        <f>SUMPRODUCT(('Парк (SAP)'!$B$11:$B$346="Полюс Магадан")*('Парк (SAP)'!$D$11:$D$346="TR100")*('Парк (SAP)'!$H$11:$H$346&lt;=EOMONTH(A47,0))*('Парк (SAP)'!$J$11:$J$346&gt;=A47))</f>
        <v>7</v>
      </c>
      <c r="I47" s="32">
        <f>SUMPRODUCT(('Парк (SAP)'!$B$11:$B$346="Полюс Алдан")*('Парк (SAP)'!$D$11:$D$346="TR100")*('Парк (SAP)'!$H$11:$H$346&lt;=EOMONTH(A47,0))*('Парк (SAP)'!$J$11:$J$346&gt;=A47))</f>
        <v>20</v>
      </c>
      <c r="J47" s="33">
        <f>SUM(C47:I47)</f>
        <v>147</v>
      </c>
    </row>
    <row r="48">
      <c r="A48" s="31" t="n">
        <v>46631</v>
      </c>
      <c r="B48" s="32">
        <f>YEAR(A48)</f>
        <v>2027</v>
      </c>
      <c r="C48" s="32">
        <f>SUMPRODUCT(('Парк (SAP)'!$B$11:$B$346="Полюс Красноярск")*('Парк (SAP)'!$D$11:$D$346="NTE")*('Парк (SAP)'!$H$11:$H$346&lt;=EOMONTH(A48,0))*('Парк (SAP)'!$J$11:$J$346&gt;=A48))</f>
        <v>51</v>
      </c>
      <c r="D48" s="32">
        <f>SUMPRODUCT(('Парк (SAP)'!$B$11:$B$346="Полюс Красноярск")*('Парк (SAP)'!$D$11:$D$346="TR100")*('Парк (SAP)'!$H$11:$H$346&lt;=EOMONTH(A48,0))*('Парк (SAP)'!$J$11:$J$346&gt;=A48))</f>
        <v>22</v>
      </c>
      <c r="E48" s="32">
        <f>SUMPRODUCT(('Парк (SAP)'!$B$11:$B$346="Полюс Сухой Лог")*('Парк (SAP)'!$D$11:$D$346="NTE")*('Парк (SAP)'!$H$11:$H$346&lt;=EOMONTH(A48,0))*('Парк (SAP)'!$J$11:$J$346&gt;=A48))</f>
        <v>32</v>
      </c>
      <c r="F48" s="32">
        <f>SUMPRODUCT(('Парк (SAP)'!$B$11:$B$346="Полюс Сухой Лог")*('Парк (SAP)'!$D$11:$D$346="TR100")*('Парк (SAP)'!$H$11:$H$346&lt;=EOMONTH(A48,0))*('Парк (SAP)'!$J$11:$J$346&gt;=A48))</f>
        <v>0</v>
      </c>
      <c r="G48" s="32">
        <f>SUMPRODUCT(('Парк (SAP)'!$B$11:$B$346="Полюс Магадан")*('Парк (SAP)'!$D$11:$D$346="NTE")*('Парк (SAP)'!$H$11:$H$346&lt;=EOMONTH(A48,0))*('Парк (SAP)'!$J$11:$J$346&gt;=A48))</f>
        <v>19</v>
      </c>
      <c r="H48" s="32">
        <f>SUMPRODUCT(('Парк (SAP)'!$B$11:$B$346="Полюс Магадан")*('Парк (SAP)'!$D$11:$D$346="TR100")*('Парк (SAP)'!$H$11:$H$346&lt;=EOMONTH(A48,0))*('Парк (SAP)'!$J$11:$J$346&gt;=A48))</f>
        <v>7</v>
      </c>
      <c r="I48" s="32">
        <f>SUMPRODUCT(('Парк (SAP)'!$B$11:$B$346="Полюс Алдан")*('Парк (SAP)'!$D$11:$D$346="TR100")*('Парк (SAP)'!$H$11:$H$346&lt;=EOMONTH(A48,0))*('Парк (SAP)'!$J$11:$J$346&gt;=A48))</f>
        <v>20</v>
      </c>
      <c r="J48" s="33">
        <f>SUM(C48:I48)</f>
        <v>151</v>
      </c>
    </row>
    <row r="49">
      <c r="A49" s="31" t="n">
        <v>46661</v>
      </c>
      <c r="B49" s="32">
        <f>YEAR(A49)</f>
        <v>2027</v>
      </c>
      <c r="C49" s="32">
        <f>SUMPRODUCT(('Парк (SAP)'!$B$11:$B$346="Полюс Красноярск")*('Парк (SAP)'!$D$11:$D$346="NTE")*('Парк (SAP)'!$H$11:$H$346&lt;=EOMONTH(A49,0))*('Парк (SAP)'!$J$11:$J$346&gt;=A49))</f>
        <v>51</v>
      </c>
      <c r="D49" s="32">
        <f>SUMPRODUCT(('Парк (SAP)'!$B$11:$B$346="Полюс Красноярск")*('Парк (SAP)'!$D$11:$D$346="TR100")*('Парк (SAP)'!$H$11:$H$346&lt;=EOMONTH(A49,0))*('Парк (SAP)'!$J$11:$J$346&gt;=A49))</f>
        <v>18</v>
      </c>
      <c r="E49" s="32">
        <f>SUMPRODUCT(('Парк (SAP)'!$B$11:$B$346="Полюс Сухой Лог")*('Парк (SAP)'!$D$11:$D$346="NTE")*('Парк (SAP)'!$H$11:$H$346&lt;=EOMONTH(A49,0))*('Парк (SAP)'!$J$11:$J$346&gt;=A49))</f>
        <v>36</v>
      </c>
      <c r="F49" s="32">
        <f>SUMPRODUCT(('Парк (SAP)'!$B$11:$B$346="Полюс Сухой Лог")*('Парк (SAP)'!$D$11:$D$346="TR100")*('Парк (SAP)'!$H$11:$H$346&lt;=EOMONTH(A49,0))*('Парк (SAP)'!$J$11:$J$346&gt;=A49))</f>
        <v>0</v>
      </c>
      <c r="G49" s="32">
        <f>SUMPRODUCT(('Парк (SAP)'!$B$11:$B$346="Полюс Магадан")*('Парк (SAP)'!$D$11:$D$346="NTE")*('Парк (SAP)'!$H$11:$H$346&lt;=EOMONTH(A49,0))*('Парк (SAP)'!$J$11:$J$346&gt;=A49))</f>
        <v>19</v>
      </c>
      <c r="H49" s="32">
        <f>SUMPRODUCT(('Парк (SAP)'!$B$11:$B$346="Полюс Магадан")*('Парк (SAP)'!$D$11:$D$346="TR100")*('Парк (SAP)'!$H$11:$H$346&lt;=EOMONTH(A49,0))*('Парк (SAP)'!$J$11:$J$346&gt;=A49))</f>
        <v>7</v>
      </c>
      <c r="I49" s="32">
        <f>SUMPRODUCT(('Парк (SAP)'!$B$11:$B$346="Полюс Алдан")*('Парк (SAP)'!$D$11:$D$346="TR100")*('Парк (SAP)'!$H$11:$H$346&lt;=EOMONTH(A49,0))*('Парк (SAP)'!$J$11:$J$346&gt;=A49))</f>
        <v>19</v>
      </c>
      <c r="J49" s="33">
        <f>SUM(C49:I49)</f>
        <v>150</v>
      </c>
    </row>
    <row r="50">
      <c r="A50" s="31" t="n">
        <v>46692</v>
      </c>
      <c r="B50" s="32">
        <f>YEAR(A50)</f>
        <v>2027</v>
      </c>
      <c r="C50" s="32">
        <f>SUMPRODUCT(('Парк (SAP)'!$B$11:$B$346="Полюс Красноярск")*('Парк (SAP)'!$D$11:$D$346="NTE")*('Парк (SAP)'!$H$11:$H$346&lt;=EOMONTH(A50,0))*('Парк (SAP)'!$J$11:$J$346&gt;=A50))</f>
        <v>47</v>
      </c>
      <c r="D50" s="32">
        <f>SUMPRODUCT(('Парк (SAP)'!$B$11:$B$346="Полюс Красноярск")*('Парк (SAP)'!$D$11:$D$346="TR100")*('Парк (SAP)'!$H$11:$H$346&lt;=EOMONTH(A50,0))*('Парк (SAP)'!$J$11:$J$346&gt;=A50))</f>
        <v>18</v>
      </c>
      <c r="E50" s="32">
        <f>SUMPRODUCT(('Парк (SAP)'!$B$11:$B$346="Полюс Сухой Лог")*('Парк (SAP)'!$D$11:$D$346="NTE")*('Парк (SAP)'!$H$11:$H$346&lt;=EOMONTH(A50,0))*('Парк (SAP)'!$J$11:$J$346&gt;=A50))</f>
        <v>40</v>
      </c>
      <c r="F50" s="32">
        <f>SUMPRODUCT(('Парк (SAP)'!$B$11:$B$346="Полюс Сухой Лог")*('Парк (SAP)'!$D$11:$D$346="TR100")*('Парк (SAP)'!$H$11:$H$346&lt;=EOMONTH(A50,0))*('Парк (SAP)'!$J$11:$J$346&gt;=A50))</f>
        <v>0</v>
      </c>
      <c r="G50" s="32">
        <f>SUMPRODUCT(('Парк (SAP)'!$B$11:$B$346="Полюс Магадан")*('Парк (SAP)'!$D$11:$D$346="NTE")*('Парк (SAP)'!$H$11:$H$346&lt;=EOMONTH(A50,0))*('Парк (SAP)'!$J$11:$J$346&gt;=A50))</f>
        <v>16</v>
      </c>
      <c r="H50" s="32">
        <f>SUMPRODUCT(('Парк (SAP)'!$B$11:$B$346="Полюс Магадан")*('Парк (SAP)'!$D$11:$D$346="TR100")*('Парк (SAP)'!$H$11:$H$346&lt;=EOMONTH(A50,0))*('Парк (SAP)'!$J$11:$J$346&gt;=A50))</f>
        <v>7</v>
      </c>
      <c r="I50" s="32">
        <f>SUMPRODUCT(('Парк (SAP)'!$B$11:$B$346="Полюс Алдан")*('Парк (SAP)'!$D$11:$D$346="TR100")*('Парк (SAP)'!$H$11:$H$346&lt;=EOMONTH(A50,0))*('Парк (SAP)'!$J$11:$J$346&gt;=A50))</f>
        <v>19</v>
      </c>
      <c r="J50" s="33">
        <f>SUM(C50:I50)</f>
        <v>147</v>
      </c>
    </row>
    <row r="51">
      <c r="A51" s="31" t="n">
        <v>46722</v>
      </c>
      <c r="B51" s="32">
        <f>YEAR(A51)</f>
        <v>2027</v>
      </c>
      <c r="C51" s="32">
        <f>SUMPRODUCT(('Парк (SAP)'!$B$11:$B$346="Полюс Красноярск")*('Парк (SAP)'!$D$11:$D$346="NTE")*('Парк (SAP)'!$H$11:$H$346&lt;=EOMONTH(A51,0))*('Парк (SAP)'!$J$11:$J$346&gt;=A51))</f>
        <v>47</v>
      </c>
      <c r="D51" s="32">
        <f>SUMPRODUCT(('Парк (SAP)'!$B$11:$B$346="Полюс Красноярск")*('Парк (SAP)'!$D$11:$D$346="TR100")*('Парк (SAP)'!$H$11:$H$346&lt;=EOMONTH(A51,0))*('Парк (SAP)'!$J$11:$J$346&gt;=A51))</f>
        <v>18</v>
      </c>
      <c r="E51" s="32">
        <f>SUMPRODUCT(('Парк (SAP)'!$B$11:$B$346="Полюс Сухой Лог")*('Парк (SAP)'!$D$11:$D$346="NTE")*('Парк (SAP)'!$H$11:$H$346&lt;=EOMONTH(A51,0))*('Парк (SAP)'!$J$11:$J$346&gt;=A51))</f>
        <v>44</v>
      </c>
      <c r="F51" s="32">
        <f>SUMPRODUCT(('Парк (SAP)'!$B$11:$B$346="Полюс Сухой Лог")*('Парк (SAP)'!$D$11:$D$346="TR100")*('Парк (SAP)'!$H$11:$H$346&lt;=EOMONTH(A51,0))*('Парк (SAP)'!$J$11:$J$346&gt;=A51))</f>
        <v>0</v>
      </c>
      <c r="G51" s="32">
        <f>SUMPRODUCT(('Парк (SAP)'!$B$11:$B$346="Полюс Магадан")*('Парк (SAP)'!$D$11:$D$346="NTE")*('Парк (SAP)'!$H$11:$H$346&lt;=EOMONTH(A51,0))*('Парк (SAP)'!$J$11:$J$346&gt;=A51))</f>
        <v>15</v>
      </c>
      <c r="H51" s="32">
        <f>SUMPRODUCT(('Парк (SAP)'!$B$11:$B$346="Полюс Магадан")*('Парк (SAP)'!$D$11:$D$346="TR100")*('Парк (SAP)'!$H$11:$H$346&lt;=EOMONTH(A51,0))*('Парк (SAP)'!$J$11:$J$346&gt;=A51))</f>
        <v>7</v>
      </c>
      <c r="I51" s="32">
        <f>SUMPRODUCT(('Парк (SAP)'!$B$11:$B$346="Полюс Алдан")*('Парк (SAP)'!$D$11:$D$346="TR100")*('Парк (SAP)'!$H$11:$H$346&lt;=EOMONTH(A51,0))*('Парк (SAP)'!$J$11:$J$346&gt;=A51))</f>
        <v>19</v>
      </c>
      <c r="J51" s="33">
        <f>SUM(C51:I51)</f>
        <v>150</v>
      </c>
    </row>
    <row r="52">
      <c r="A52" s="31" t="n">
        <v>46753</v>
      </c>
      <c r="B52" s="32">
        <f>YEAR(A52)</f>
        <v>2028</v>
      </c>
      <c r="C52" s="32">
        <f>SUMPRODUCT(('Парк (SAP)'!$B$11:$B$346="Полюс Красноярск")*('Парк (SAP)'!$D$11:$D$346="NTE")*('Парк (SAP)'!$H$11:$H$346&lt;=EOMONTH(A52,0))*('Парк (SAP)'!$J$11:$J$346&gt;=A52))</f>
        <v>47</v>
      </c>
      <c r="D52" s="32">
        <f>SUMPRODUCT(('Парк (SAP)'!$B$11:$B$346="Полюс Красноярск")*('Парк (SAP)'!$D$11:$D$346="TR100")*('Парк (SAP)'!$H$11:$H$346&lt;=EOMONTH(A52,0))*('Парк (SAP)'!$J$11:$J$346&gt;=A52))</f>
        <v>18</v>
      </c>
      <c r="E52" s="32">
        <f>SUMPRODUCT(('Парк (SAP)'!$B$11:$B$346="Полюс Сухой Лог")*('Парк (SAP)'!$D$11:$D$346="NTE")*('Парк (SAP)'!$H$11:$H$346&lt;=EOMONTH(A52,0))*('Парк (SAP)'!$J$11:$J$346&gt;=A52))</f>
        <v>47</v>
      </c>
      <c r="F52" s="32">
        <f>SUMPRODUCT(('Парк (SAP)'!$B$11:$B$346="Полюс Сухой Лог")*('Парк (SAP)'!$D$11:$D$346="TR100")*('Парк (SAP)'!$H$11:$H$346&lt;=EOMONTH(A52,0))*('Парк (SAP)'!$J$11:$J$346&gt;=A52))</f>
        <v>0</v>
      </c>
      <c r="G52" s="32">
        <f>SUMPRODUCT(('Парк (SAP)'!$B$11:$B$346="Полюс Магадан")*('Парк (SAP)'!$D$11:$D$346="NTE")*('Парк (SAP)'!$H$11:$H$346&lt;=EOMONTH(A52,0))*('Парк (SAP)'!$J$11:$J$346&gt;=A52))</f>
        <v>8</v>
      </c>
      <c r="H52" s="32">
        <f>SUMPRODUCT(('Парк (SAP)'!$B$11:$B$346="Полюс Магадан")*('Парк (SAP)'!$D$11:$D$346="TR100")*('Парк (SAP)'!$H$11:$H$346&lt;=EOMONTH(A52,0))*('Парк (SAP)'!$J$11:$J$346&gt;=A52))</f>
        <v>7</v>
      </c>
      <c r="I52" s="32">
        <f>SUMPRODUCT(('Парк (SAP)'!$B$11:$B$346="Полюс Алдан")*('Парк (SAP)'!$D$11:$D$346="TR100")*('Парк (SAP)'!$H$11:$H$346&lt;=EOMONTH(A52,0))*('Парк (SAP)'!$J$11:$J$346&gt;=A52))</f>
        <v>19</v>
      </c>
      <c r="J52" s="33">
        <f>SUM(C52:I52)</f>
        <v>146</v>
      </c>
    </row>
    <row r="53">
      <c r="A53" s="31" t="n">
        <v>46784</v>
      </c>
      <c r="B53" s="32">
        <f>YEAR(A53)</f>
        <v>2028</v>
      </c>
      <c r="C53" s="32">
        <f>SUMPRODUCT(('Парк (SAP)'!$B$11:$B$346="Полюс Красноярск")*('Парк (SAP)'!$D$11:$D$346="NTE")*('Парк (SAP)'!$H$11:$H$346&lt;=EOMONTH(A53,0))*('Парк (SAP)'!$J$11:$J$346&gt;=A53))</f>
        <v>47</v>
      </c>
      <c r="D53" s="32">
        <f>SUMPRODUCT(('Парк (SAP)'!$B$11:$B$346="Полюс Красноярск")*('Парк (SAP)'!$D$11:$D$346="TR100")*('Парк (SAP)'!$H$11:$H$346&lt;=EOMONTH(A53,0))*('Парк (SAP)'!$J$11:$J$346&gt;=A53))</f>
        <v>14</v>
      </c>
      <c r="E53" s="32">
        <f>SUMPRODUCT(('Парк (SAP)'!$B$11:$B$346="Полюс Сухой Лог")*('Парк (SAP)'!$D$11:$D$346="NTE")*('Парк (SAP)'!$H$11:$H$346&lt;=EOMONTH(A53,0))*('Парк (SAP)'!$J$11:$J$346&gt;=A53))</f>
        <v>50</v>
      </c>
      <c r="F53" s="32">
        <f>SUMPRODUCT(('Парк (SAP)'!$B$11:$B$346="Полюс Сухой Лог")*('Парк (SAP)'!$D$11:$D$346="TR100")*('Парк (SAP)'!$H$11:$H$346&lt;=EOMONTH(A53,0))*('Парк (SAP)'!$J$11:$J$346&gt;=A53))</f>
        <v>0</v>
      </c>
      <c r="G53" s="32">
        <f>SUMPRODUCT(('Парк (SAP)'!$B$11:$B$346="Полюс Магадан")*('Парк (SAP)'!$D$11:$D$346="NTE")*('Парк (SAP)'!$H$11:$H$346&lt;=EOMONTH(A53,0))*('Парк (SAP)'!$J$11:$J$346&gt;=A53))</f>
        <v>8</v>
      </c>
      <c r="H53" s="32">
        <f>SUMPRODUCT(('Парк (SAP)'!$B$11:$B$346="Полюс Магадан")*('Парк (SAP)'!$D$11:$D$346="TR100")*('Парк (SAP)'!$H$11:$H$346&lt;=EOMONTH(A53,0))*('Парк (SAP)'!$J$11:$J$346&gt;=A53))</f>
        <v>7</v>
      </c>
      <c r="I53" s="32">
        <f>SUMPRODUCT(('Парк (SAP)'!$B$11:$B$346="Полюс Алдан")*('Парк (SAP)'!$D$11:$D$346="TR100")*('Парк (SAP)'!$H$11:$H$346&lt;=EOMONTH(A53,0))*('Парк (SAP)'!$J$11:$J$346&gt;=A53))</f>
        <v>17</v>
      </c>
      <c r="J53" s="33">
        <f>SUM(C53:I53)</f>
        <v>143</v>
      </c>
    </row>
    <row r="54">
      <c r="A54" s="31" t="n">
        <v>46813</v>
      </c>
      <c r="B54" s="32">
        <f>YEAR(A54)</f>
        <v>2028</v>
      </c>
      <c r="C54" s="32">
        <f>SUMPRODUCT(('Парк (SAP)'!$B$11:$B$346="Полюс Красноярск")*('Парк (SAP)'!$D$11:$D$346="NTE")*('Парк (SAP)'!$H$11:$H$346&lt;=EOMONTH(A54,0))*('Парк (SAP)'!$J$11:$J$346&gt;=A54))</f>
        <v>41</v>
      </c>
      <c r="D54" s="32">
        <f>SUMPRODUCT(('Парк (SAP)'!$B$11:$B$346="Полюс Красноярск")*('Парк (SAP)'!$D$11:$D$346="TR100")*('Парк (SAP)'!$H$11:$H$346&lt;=EOMONTH(A54,0))*('Парк (SAP)'!$J$11:$J$346&gt;=A54))</f>
        <v>12</v>
      </c>
      <c r="E54" s="32">
        <f>SUMPRODUCT(('Парк (SAP)'!$B$11:$B$346="Полюс Сухой Лог")*('Парк (SAP)'!$D$11:$D$346="NTE")*('Парк (SAP)'!$H$11:$H$346&lt;=EOMONTH(A54,0))*('Парк (SAP)'!$J$11:$J$346&gt;=A54))</f>
        <v>53</v>
      </c>
      <c r="F54" s="32">
        <f>SUMPRODUCT(('Парк (SAP)'!$B$11:$B$346="Полюс Сухой Лог")*('Парк (SAP)'!$D$11:$D$346="TR100")*('Парк (SAP)'!$H$11:$H$346&lt;=EOMONTH(A54,0))*('Парк (SAP)'!$J$11:$J$346&gt;=A54))</f>
        <v>0</v>
      </c>
      <c r="G54" s="32">
        <f>SUMPRODUCT(('Парк (SAP)'!$B$11:$B$346="Полюс Магадан")*('Парк (SAP)'!$D$11:$D$346="NTE")*('Парк (SAP)'!$H$11:$H$346&lt;=EOMONTH(A54,0))*('Парк (SAP)'!$J$11:$J$346&gt;=A54))</f>
        <v>8</v>
      </c>
      <c r="H54" s="32">
        <f>SUMPRODUCT(('Парк (SAP)'!$B$11:$B$346="Полюс Магадан")*('Парк (SAP)'!$D$11:$D$346="TR100")*('Парк (SAP)'!$H$11:$H$346&lt;=EOMONTH(A54,0))*('Парк (SAP)'!$J$11:$J$346&gt;=A54))</f>
        <v>7</v>
      </c>
      <c r="I54" s="32">
        <f>SUMPRODUCT(('Парк (SAP)'!$B$11:$B$346="Полюс Алдан")*('Парк (SAP)'!$D$11:$D$346="TR100")*('Парк (SAP)'!$H$11:$H$346&lt;=EOMONTH(A54,0))*('Парк (SAP)'!$J$11:$J$346&gt;=A54))</f>
        <v>14</v>
      </c>
      <c r="J54" s="33">
        <f>SUM(C54:I54)</f>
        <v>135</v>
      </c>
    </row>
    <row r="55">
      <c r="A55" s="31" t="n">
        <v>46844</v>
      </c>
      <c r="B55" s="32">
        <f>YEAR(A55)</f>
        <v>2028</v>
      </c>
      <c r="C55" s="32">
        <f>SUMPRODUCT(('Парк (SAP)'!$B$11:$B$346="Полюс Красноярск")*('Парк (SAP)'!$D$11:$D$346="NTE")*('Парк (SAP)'!$H$11:$H$346&lt;=EOMONTH(A55,0))*('Парк (SAP)'!$J$11:$J$346&gt;=A55))</f>
        <v>33</v>
      </c>
      <c r="D55" s="32">
        <f>SUMPRODUCT(('Парк (SAP)'!$B$11:$B$346="Полюс Красноярск")*('Парк (SAP)'!$D$11:$D$346="TR100")*('Парк (SAP)'!$H$11:$H$346&lt;=EOMONTH(A55,0))*('Парк (SAP)'!$J$11:$J$346&gt;=A55))</f>
        <v>10</v>
      </c>
      <c r="E55" s="32">
        <f>SUMPRODUCT(('Парк (SAP)'!$B$11:$B$346="Полюс Сухой Лог")*('Парк (SAP)'!$D$11:$D$346="NTE")*('Парк (SAP)'!$H$11:$H$346&lt;=EOMONTH(A55,0))*('Парк (SAP)'!$J$11:$J$346&gt;=A55))</f>
        <v>57</v>
      </c>
      <c r="F55" s="32">
        <f>SUMPRODUCT(('Парк (SAP)'!$B$11:$B$346="Полюс Сухой Лог")*('Парк (SAP)'!$D$11:$D$346="TR100")*('Парк (SAP)'!$H$11:$H$346&lt;=EOMONTH(A55,0))*('Парк (SAP)'!$J$11:$J$346&gt;=A55))</f>
        <v>0</v>
      </c>
      <c r="G55" s="32">
        <f>SUMPRODUCT(('Парк (SAP)'!$B$11:$B$346="Полюс Магадан")*('Парк (SAP)'!$D$11:$D$346="NTE")*('Парк (SAP)'!$H$11:$H$346&lt;=EOMONTH(A55,0))*('Парк (SAP)'!$J$11:$J$346&gt;=A55))</f>
        <v>8</v>
      </c>
      <c r="H55" s="32">
        <f>SUMPRODUCT(('Парк (SAP)'!$B$11:$B$346="Полюс Магадан")*('Парк (SAP)'!$D$11:$D$346="TR100")*('Парк (SAP)'!$H$11:$H$346&lt;=EOMONTH(A55,0))*('Парк (SAP)'!$J$11:$J$346&gt;=A55))</f>
        <v>5</v>
      </c>
      <c r="I55" s="32">
        <f>SUMPRODUCT(('Парк (SAP)'!$B$11:$B$346="Полюс Алдан")*('Парк (SAP)'!$D$11:$D$346="TR100")*('Парк (SAP)'!$H$11:$H$346&lt;=EOMONTH(A55,0))*('Парк (SAP)'!$J$11:$J$346&gt;=A55))</f>
        <v>13</v>
      </c>
      <c r="J55" s="33">
        <f>SUM(C55:I55)</f>
        <v>126</v>
      </c>
    </row>
    <row r="56">
      <c r="A56" s="31" t="n">
        <v>46874</v>
      </c>
      <c r="B56" s="32">
        <f>YEAR(A56)</f>
        <v>2028</v>
      </c>
      <c r="C56" s="32">
        <f>SUMPRODUCT(('Парк (SAP)'!$B$11:$B$346="Полюс Красноярск")*('Парк (SAP)'!$D$11:$D$346="NTE")*('Парк (SAP)'!$H$11:$H$346&lt;=EOMONTH(A56,0))*('Парк (SAP)'!$J$11:$J$346&gt;=A56))</f>
        <v>27</v>
      </c>
      <c r="D56" s="32">
        <f>SUMPRODUCT(('Парк (SAP)'!$B$11:$B$346="Полюс Красноярск")*('Парк (SAP)'!$D$11:$D$346="TR100")*('Парк (SAP)'!$H$11:$H$346&lt;=EOMONTH(A56,0))*('Парк (SAP)'!$J$11:$J$346&gt;=A56))</f>
        <v>8</v>
      </c>
      <c r="E56" s="32">
        <f>SUMPRODUCT(('Парк (SAP)'!$B$11:$B$346="Полюс Сухой Лог")*('Парк (SAP)'!$D$11:$D$346="NTE")*('Парк (SAP)'!$H$11:$H$346&lt;=EOMONTH(A56,0))*('Парк (SAP)'!$J$11:$J$346&gt;=A56))</f>
        <v>61</v>
      </c>
      <c r="F56" s="32">
        <f>SUMPRODUCT(('Парк (SAP)'!$B$11:$B$346="Полюс Сухой Лог")*('Парк (SAP)'!$D$11:$D$346="TR100")*('Парк (SAP)'!$H$11:$H$346&lt;=EOMONTH(A56,0))*('Парк (SAP)'!$J$11:$J$346&gt;=A56))</f>
        <v>0</v>
      </c>
      <c r="G56" s="32">
        <f>SUMPRODUCT(('Парк (SAP)'!$B$11:$B$346="Полюс Магадан")*('Парк (SAP)'!$D$11:$D$346="NTE")*('Парк (SAP)'!$H$11:$H$346&lt;=EOMONTH(A56,0))*('Парк (SAP)'!$J$11:$J$346&gt;=A56))</f>
        <v>8</v>
      </c>
      <c r="H56" s="32">
        <f>SUMPRODUCT(('Парк (SAP)'!$B$11:$B$346="Полюс Магадан")*('Парк (SAP)'!$D$11:$D$346="TR100")*('Парк (SAP)'!$H$11:$H$346&lt;=EOMONTH(A56,0))*('Парк (SAP)'!$J$11:$J$346&gt;=A56))</f>
        <v>4</v>
      </c>
      <c r="I56" s="32">
        <f>SUMPRODUCT(('Парк (SAP)'!$B$11:$B$346="Полюс Алдан")*('Парк (SAP)'!$D$11:$D$346="TR100")*('Парк (SAP)'!$H$11:$H$346&lt;=EOMONTH(A56,0))*('Парк (SAP)'!$J$11:$J$346&gt;=A56))</f>
        <v>13</v>
      </c>
      <c r="J56" s="33">
        <f>SUM(C56:I56)</f>
        <v>121</v>
      </c>
    </row>
    <row r="57">
      <c r="A57" s="31" t="n">
        <v>46905</v>
      </c>
      <c r="B57" s="32">
        <f>YEAR(A57)</f>
        <v>2028</v>
      </c>
      <c r="C57" s="32">
        <f>SUMPRODUCT(('Парк (SAP)'!$B$11:$B$346="Полюс Красноярск")*('Парк (SAP)'!$D$11:$D$346="NTE")*('Парк (SAP)'!$H$11:$H$346&lt;=EOMONTH(A57,0))*('Парк (SAP)'!$J$11:$J$346&gt;=A57))</f>
        <v>22</v>
      </c>
      <c r="D57" s="32">
        <f>SUMPRODUCT(('Парк (SAP)'!$B$11:$B$346="Полюс Красноярск")*('Парк (SAP)'!$D$11:$D$346="TR100")*('Парк (SAP)'!$H$11:$H$346&lt;=EOMONTH(A57,0))*('Парк (SAP)'!$J$11:$J$346&gt;=A57))</f>
        <v>8</v>
      </c>
      <c r="E57" s="32">
        <f>SUMPRODUCT(('Парк (SAP)'!$B$11:$B$346="Полюс Сухой Лог")*('Парк (SAP)'!$D$11:$D$346="NTE")*('Парк (SAP)'!$H$11:$H$346&lt;=EOMONTH(A57,0))*('Парк (SAP)'!$J$11:$J$346&gt;=A57))</f>
        <v>65</v>
      </c>
      <c r="F57" s="32">
        <f>SUMPRODUCT(('Парк (SAP)'!$B$11:$B$346="Полюс Сухой Лог")*('Парк (SAP)'!$D$11:$D$346="TR100")*('Парк (SAP)'!$H$11:$H$346&lt;=EOMONTH(A57,0))*('Парк (SAP)'!$J$11:$J$346&gt;=A57))</f>
        <v>0</v>
      </c>
      <c r="G57" s="32">
        <f>SUMPRODUCT(('Парк (SAP)'!$B$11:$B$346="Полюс Магадан")*('Парк (SAP)'!$D$11:$D$346="NTE")*('Парк (SAP)'!$H$11:$H$346&lt;=EOMONTH(A57,0))*('Парк (SAP)'!$J$11:$J$346&gt;=A57))</f>
        <v>8</v>
      </c>
      <c r="H57" s="32">
        <f>SUMPRODUCT(('Парк (SAP)'!$B$11:$B$346="Полюс Магадан")*('Парк (SAP)'!$D$11:$D$346="TR100")*('Парк (SAP)'!$H$11:$H$346&lt;=EOMONTH(A57,0))*('Парк (SAP)'!$J$11:$J$346&gt;=A57))</f>
        <v>4</v>
      </c>
      <c r="I57" s="32">
        <f>SUMPRODUCT(('Парк (SAP)'!$B$11:$B$346="Полюс Алдан")*('Парк (SAP)'!$D$11:$D$346="TR100")*('Парк (SAP)'!$H$11:$H$346&lt;=EOMONTH(A57,0))*('Парк (SAP)'!$J$11:$J$346&gt;=A57))</f>
        <v>13</v>
      </c>
      <c r="J57" s="33">
        <f>SUM(C57:I57)</f>
        <v>120</v>
      </c>
    </row>
    <row r="58">
      <c r="A58" s="31" t="n">
        <v>46935</v>
      </c>
      <c r="B58" s="32">
        <f>YEAR(A58)</f>
        <v>2028</v>
      </c>
      <c r="C58" s="32">
        <f>SUMPRODUCT(('Парк (SAP)'!$B$11:$B$346="Полюс Красноярск")*('Парк (SAP)'!$D$11:$D$346="NTE")*('Парк (SAP)'!$H$11:$H$346&lt;=EOMONTH(A58,0))*('Парк (SAP)'!$J$11:$J$346&gt;=A58))</f>
        <v>16</v>
      </c>
      <c r="D58" s="32">
        <f>SUMPRODUCT(('Парк (SAP)'!$B$11:$B$346="Полюс Красноярск")*('Парк (SAP)'!$D$11:$D$346="TR100")*('Парк (SAP)'!$H$11:$H$346&lt;=EOMONTH(A58,0))*('Парк (SAP)'!$J$11:$J$346&gt;=A58))</f>
        <v>8</v>
      </c>
      <c r="E58" s="32">
        <f>SUMPRODUCT(('Парк (SAP)'!$B$11:$B$346="Полюс Сухой Лог")*('Парк (SAP)'!$D$11:$D$346="NTE")*('Парк (SAP)'!$H$11:$H$346&lt;=EOMONTH(A58,0))*('Парк (SAP)'!$J$11:$J$346&gt;=A58))</f>
        <v>68</v>
      </c>
      <c r="F58" s="32">
        <f>SUMPRODUCT(('Парк (SAP)'!$B$11:$B$346="Полюс Сухой Лог")*('Парк (SAP)'!$D$11:$D$346="TR100")*('Парк (SAP)'!$H$11:$H$346&lt;=EOMONTH(A58,0))*('Парк (SAP)'!$J$11:$J$346&gt;=A58))</f>
        <v>0</v>
      </c>
      <c r="G58" s="32">
        <f>SUMPRODUCT(('Парк (SAP)'!$B$11:$B$346="Полюс Магадан")*('Парк (SAP)'!$D$11:$D$346="NTE")*('Парк (SAP)'!$H$11:$H$346&lt;=EOMONTH(A58,0))*('Парк (SAP)'!$J$11:$J$346&gt;=A58))</f>
        <v>8</v>
      </c>
      <c r="H58" s="32">
        <f>SUMPRODUCT(('Парк (SAP)'!$B$11:$B$346="Полюс Магадан")*('Парк (SAP)'!$D$11:$D$346="TR100")*('Парк (SAP)'!$H$11:$H$346&lt;=EOMONTH(A58,0))*('Парк (SAP)'!$J$11:$J$346&gt;=A58))</f>
        <v>4</v>
      </c>
      <c r="I58" s="32">
        <f>SUMPRODUCT(('Парк (SAP)'!$B$11:$B$346="Полюс Алдан")*('Парк (SAP)'!$D$11:$D$346="TR100")*('Парк (SAP)'!$H$11:$H$346&lt;=EOMONTH(A58,0))*('Парк (SAP)'!$J$11:$J$346&gt;=A58))</f>
        <v>13</v>
      </c>
      <c r="J58" s="33">
        <f>SUM(C58:I58)</f>
        <v>117</v>
      </c>
    </row>
    <row r="59">
      <c r="A59" s="31" t="n">
        <v>46966</v>
      </c>
      <c r="B59" s="32">
        <f>YEAR(A59)</f>
        <v>2028</v>
      </c>
      <c r="C59" s="32">
        <f>SUMPRODUCT(('Парк (SAP)'!$B$11:$B$346="Полюс Красноярск")*('Парк (SAP)'!$D$11:$D$346="NTE")*('Парк (SAP)'!$H$11:$H$346&lt;=EOMONTH(A59,0))*('Парк (SAP)'!$J$11:$J$346&gt;=A59))</f>
        <v>14</v>
      </c>
      <c r="D59" s="32">
        <f>SUMPRODUCT(('Парк (SAP)'!$B$11:$B$346="Полюс Красноярск")*('Парк (SAP)'!$D$11:$D$346="TR100")*('Парк (SAP)'!$H$11:$H$346&lt;=EOMONTH(A59,0))*('Парк (SAP)'!$J$11:$J$346&gt;=A59))</f>
        <v>8</v>
      </c>
      <c r="E59" s="32">
        <f>SUMPRODUCT(('Парк (SAP)'!$B$11:$B$346="Полюс Сухой Лог")*('Парк (SAP)'!$D$11:$D$346="NTE")*('Парк (SAP)'!$H$11:$H$346&lt;=EOMONTH(A59,0))*('Парк (SAP)'!$J$11:$J$346&gt;=A59))</f>
        <v>69</v>
      </c>
      <c r="F59" s="32">
        <f>SUMPRODUCT(('Парк (SAP)'!$B$11:$B$346="Полюс Сухой Лог")*('Парк (SAP)'!$D$11:$D$346="TR100")*('Парк (SAP)'!$H$11:$H$346&lt;=EOMONTH(A59,0))*('Парк (SAP)'!$J$11:$J$346&gt;=A59))</f>
        <v>0</v>
      </c>
      <c r="G59" s="32">
        <f>SUMPRODUCT(('Парк (SAP)'!$B$11:$B$346="Полюс Магадан")*('Парк (SAP)'!$D$11:$D$346="NTE")*('Парк (SAP)'!$H$11:$H$346&lt;=EOMONTH(A59,0))*('Парк (SAP)'!$J$11:$J$346&gt;=A59))</f>
        <v>8</v>
      </c>
      <c r="H59" s="32">
        <f>SUMPRODUCT(('Парк (SAP)'!$B$11:$B$346="Полюс Магадан")*('Парк (SAP)'!$D$11:$D$346="TR100")*('Парк (SAP)'!$H$11:$H$346&lt;=EOMONTH(A59,0))*('Парк (SAP)'!$J$11:$J$346&gt;=A59))</f>
        <v>4</v>
      </c>
      <c r="I59" s="32">
        <f>SUMPRODUCT(('Парк (SAP)'!$B$11:$B$346="Полюс Алдан")*('Парк (SAP)'!$D$11:$D$346="TR100")*('Парк (SAP)'!$H$11:$H$346&lt;=EOMONTH(A59,0))*('Парк (SAP)'!$J$11:$J$346&gt;=A59))</f>
        <v>13</v>
      </c>
      <c r="J59" s="33">
        <f>SUM(C59:I59)</f>
        <v>116</v>
      </c>
    </row>
    <row r="60">
      <c r="A60" s="31" t="n">
        <v>46997</v>
      </c>
      <c r="B60" s="32">
        <f>YEAR(A60)</f>
        <v>2028</v>
      </c>
      <c r="C60" s="32">
        <f>SUMPRODUCT(('Парк (SAP)'!$B$11:$B$346="Полюс Красноярск")*('Парк (SAP)'!$D$11:$D$346="NTE")*('Парк (SAP)'!$H$11:$H$346&lt;=EOMONTH(A60,0))*('Парк (SAP)'!$J$11:$J$346&gt;=A60))</f>
        <v>14</v>
      </c>
      <c r="D60" s="32">
        <f>SUMPRODUCT(('Парк (SAP)'!$B$11:$B$346="Полюс Красноярск")*('Парк (SAP)'!$D$11:$D$346="TR100")*('Парк (SAP)'!$H$11:$H$346&lt;=EOMONTH(A60,0))*('Парк (SAP)'!$J$11:$J$346&gt;=A60))</f>
        <v>8</v>
      </c>
      <c r="E60" s="32">
        <f>SUMPRODUCT(('Парк (SAP)'!$B$11:$B$346="Полюс Сухой Лог")*('Парк (SAP)'!$D$11:$D$346="NTE")*('Парк (SAP)'!$H$11:$H$346&lt;=EOMONTH(A60,0))*('Парк (SAP)'!$J$11:$J$346&gt;=A60))</f>
        <v>70</v>
      </c>
      <c r="F60" s="32">
        <f>SUMPRODUCT(('Парк (SAP)'!$B$11:$B$346="Полюс Сухой Лог")*('Парк (SAP)'!$D$11:$D$346="TR100")*('Парк (SAP)'!$H$11:$H$346&lt;=EOMONTH(A60,0))*('Парк (SAP)'!$J$11:$J$346&gt;=A60))</f>
        <v>0</v>
      </c>
      <c r="G60" s="32">
        <f>SUMPRODUCT(('Парк (SAP)'!$B$11:$B$346="Полюс Магадан")*('Парк (SAP)'!$D$11:$D$346="NTE")*('Парк (SAP)'!$H$11:$H$346&lt;=EOMONTH(A60,0))*('Парк (SAP)'!$J$11:$J$346&gt;=A60))</f>
        <v>8</v>
      </c>
      <c r="H60" s="32">
        <f>SUMPRODUCT(('Парк (SAP)'!$B$11:$B$346="Полюс Магадан")*('Парк (SAP)'!$D$11:$D$346="TR100")*('Парк (SAP)'!$H$11:$H$346&lt;=EOMONTH(A60,0))*('Парк (SAP)'!$J$11:$J$346&gt;=A60))</f>
        <v>4</v>
      </c>
      <c r="I60" s="32">
        <f>SUMPRODUCT(('Парк (SAP)'!$B$11:$B$346="Полюс Алдан")*('Парк (SAP)'!$D$11:$D$346="TR100")*('Парк (SAP)'!$H$11:$H$346&lt;=EOMONTH(A60,0))*('Парк (SAP)'!$J$11:$J$346&gt;=A60))</f>
        <v>13</v>
      </c>
      <c r="J60" s="33">
        <f>SUM(C60:I60)</f>
        <v>117</v>
      </c>
    </row>
    <row r="61">
      <c r="A61" s="31" t="n">
        <v>47027</v>
      </c>
      <c r="B61" s="32">
        <f>YEAR(A61)</f>
        <v>2028</v>
      </c>
      <c r="C61" s="32">
        <f>SUMPRODUCT(('Парк (SAP)'!$B$11:$B$346="Полюс Красноярск")*('Парк (SAP)'!$D$11:$D$346="NTE")*('Парк (SAP)'!$H$11:$H$346&lt;=EOMONTH(A61,0))*('Парк (SAP)'!$J$11:$J$346&gt;=A61))</f>
        <v>14</v>
      </c>
      <c r="D61" s="32">
        <f>SUMPRODUCT(('Парк (SAP)'!$B$11:$B$346="Полюс Красноярск")*('Парк (SAP)'!$D$11:$D$346="TR100")*('Парк (SAP)'!$H$11:$H$346&lt;=EOMONTH(A61,0))*('Парк (SAP)'!$J$11:$J$346&gt;=A61))</f>
        <v>6</v>
      </c>
      <c r="E61" s="32">
        <f>SUMPRODUCT(('Парк (SAP)'!$B$11:$B$346="Полюс Сухой Лог")*('Парк (SAP)'!$D$11:$D$346="NTE")*('Парк (SAP)'!$H$11:$H$346&lt;=EOMONTH(A61,0))*('Парк (SAP)'!$J$11:$J$346&gt;=A61))</f>
        <v>71</v>
      </c>
      <c r="F61" s="32">
        <f>SUMPRODUCT(('Парк (SAP)'!$B$11:$B$346="Полюс Сухой Лог")*('Парк (SAP)'!$D$11:$D$346="TR100")*('Парк (SAP)'!$H$11:$H$346&lt;=EOMONTH(A61,0))*('Парк (SAP)'!$J$11:$J$346&gt;=A61))</f>
        <v>0</v>
      </c>
      <c r="G61" s="32">
        <f>SUMPRODUCT(('Парк (SAP)'!$B$11:$B$346="Полюс Магадан")*('Парк (SAP)'!$D$11:$D$346="NTE")*('Парк (SAP)'!$H$11:$H$346&lt;=EOMONTH(A61,0))*('Парк (SAP)'!$J$11:$J$346&gt;=A61))</f>
        <v>8</v>
      </c>
      <c r="H61" s="32">
        <f>SUMPRODUCT(('Парк (SAP)'!$B$11:$B$346="Полюс Магадан")*('Парк (SAP)'!$D$11:$D$346="TR100")*('Парк (SAP)'!$H$11:$H$346&lt;=EOMONTH(A61,0))*('Парк (SAP)'!$J$11:$J$346&gt;=A61))</f>
        <v>4</v>
      </c>
      <c r="I61" s="32">
        <f>SUMPRODUCT(('Парк (SAP)'!$B$11:$B$346="Полюс Алдан")*('Парк (SAP)'!$D$11:$D$346="TR100")*('Парк (SAP)'!$H$11:$H$346&lt;=EOMONTH(A61,0))*('Парк (SAP)'!$J$11:$J$346&gt;=A61))</f>
        <v>13</v>
      </c>
      <c r="J61" s="33">
        <f>SUM(C61:I61)</f>
        <v>116</v>
      </c>
    </row>
    <row r="62">
      <c r="A62" s="31" t="n">
        <v>47058</v>
      </c>
      <c r="B62" s="32">
        <f>YEAR(A62)</f>
        <v>2028</v>
      </c>
      <c r="C62" s="32">
        <f>SUMPRODUCT(('Парк (SAP)'!$B$11:$B$346="Полюс Красноярск")*('Парк (SAP)'!$D$11:$D$346="NTE")*('Парк (SAP)'!$H$11:$H$346&lt;=EOMONTH(A62,0))*('Парк (SAP)'!$J$11:$J$346&gt;=A62))</f>
        <v>14</v>
      </c>
      <c r="D62" s="32">
        <f>SUMPRODUCT(('Парк (SAP)'!$B$11:$B$346="Полюс Красноярск")*('Парк (SAP)'!$D$11:$D$346="TR100")*('Парк (SAP)'!$H$11:$H$346&lt;=EOMONTH(A62,0))*('Парк (SAP)'!$J$11:$J$346&gt;=A62))</f>
        <v>4</v>
      </c>
      <c r="E62" s="32">
        <f>SUMPRODUCT(('Парк (SAP)'!$B$11:$B$346="Полюс Сухой Лог")*('Парк (SAP)'!$D$11:$D$346="NTE")*('Парк (SAP)'!$H$11:$H$346&lt;=EOMONTH(A62,0))*('Парк (SAP)'!$J$11:$J$346&gt;=A62))</f>
        <v>72</v>
      </c>
      <c r="F62" s="32">
        <f>SUMPRODUCT(('Парк (SAP)'!$B$11:$B$346="Полюс Сухой Лог")*('Парк (SAP)'!$D$11:$D$346="TR100")*('Парк (SAP)'!$H$11:$H$346&lt;=EOMONTH(A62,0))*('Парк (SAP)'!$J$11:$J$346&gt;=A62))</f>
        <v>0</v>
      </c>
      <c r="G62" s="32">
        <f>SUMPRODUCT(('Парк (SAP)'!$B$11:$B$346="Полюс Магадан")*('Парк (SAP)'!$D$11:$D$346="NTE")*('Парк (SAP)'!$H$11:$H$346&lt;=EOMONTH(A62,0))*('Парк (SAP)'!$J$11:$J$346&gt;=A62))</f>
        <v>8</v>
      </c>
      <c r="H62" s="32">
        <f>SUMPRODUCT(('Парк (SAP)'!$B$11:$B$346="Полюс Магадан")*('Парк (SAP)'!$D$11:$D$346="TR100")*('Парк (SAP)'!$H$11:$H$346&lt;=EOMONTH(A62,0))*('Парк (SAP)'!$J$11:$J$346&gt;=A62))</f>
        <v>0</v>
      </c>
      <c r="I62" s="32">
        <f>SUMPRODUCT(('Парк (SAP)'!$B$11:$B$346="Полюс Алдан")*('Парк (SAP)'!$D$11:$D$346="TR100")*('Парк (SAP)'!$H$11:$H$346&lt;=EOMONTH(A62,0))*('Парк (SAP)'!$J$11:$J$346&gt;=A62))</f>
        <v>13</v>
      </c>
      <c r="J62" s="33">
        <f>SUM(C62:I62)</f>
        <v>111</v>
      </c>
    </row>
    <row r="63">
      <c r="A63" s="31" t="n">
        <v>47088</v>
      </c>
      <c r="B63" s="32">
        <f>YEAR(A63)</f>
        <v>2028</v>
      </c>
      <c r="C63" s="32">
        <f>SUMPRODUCT(('Парк (SAP)'!$B$11:$B$346="Полюс Красноярск")*('Парк (SAP)'!$D$11:$D$346="NTE")*('Парк (SAP)'!$H$11:$H$346&lt;=EOMONTH(A63,0))*('Парк (SAP)'!$J$11:$J$346&gt;=A63))</f>
        <v>8</v>
      </c>
      <c r="D63" s="32">
        <f>SUMPRODUCT(('Парк (SAP)'!$B$11:$B$346="Полюс Красноярск")*('Парк (SAP)'!$D$11:$D$346="TR100")*('Парк (SAP)'!$H$11:$H$346&lt;=EOMONTH(A63,0))*('Парк (SAP)'!$J$11:$J$346&gt;=A63))</f>
        <v>0</v>
      </c>
      <c r="E63" s="32">
        <f>SUMPRODUCT(('Парк (SAP)'!$B$11:$B$346="Полюс Сухой Лог")*('Парк (SAP)'!$D$11:$D$346="NTE")*('Парк (SAP)'!$H$11:$H$346&lt;=EOMONTH(A63,0))*('Парк (SAP)'!$J$11:$J$346&gt;=A63))</f>
        <v>73</v>
      </c>
      <c r="F63" s="32">
        <f>SUMPRODUCT(('Парк (SAP)'!$B$11:$B$346="Полюс Сухой Лог")*('Парк (SAP)'!$D$11:$D$346="TR100")*('Парк (SAP)'!$H$11:$H$346&lt;=EOMONTH(A63,0))*('Парк (SAP)'!$J$11:$J$346&gt;=A63))</f>
        <v>0</v>
      </c>
      <c r="G63" s="32">
        <f>SUMPRODUCT(('Парк (SAP)'!$B$11:$B$346="Полюс Магадан")*('Парк (SAP)'!$D$11:$D$346="NTE")*('Парк (SAP)'!$H$11:$H$346&lt;=EOMONTH(A63,0))*('Парк (SAP)'!$J$11:$J$346&gt;=A63))</f>
        <v>8</v>
      </c>
      <c r="H63" s="32">
        <f>SUMPRODUCT(('Парк (SAP)'!$B$11:$B$346="Полюс Магадан")*('Парк (SAP)'!$D$11:$D$346="TR100")*('Парк (SAP)'!$H$11:$H$346&lt;=EOMONTH(A63,0))*('Парк (SAP)'!$J$11:$J$346&gt;=A63))</f>
        <v>0</v>
      </c>
      <c r="I63" s="32">
        <f>SUMPRODUCT(('Парк (SAP)'!$B$11:$B$346="Полюс Алдан")*('Парк (SAP)'!$D$11:$D$346="TR100")*('Парк (SAP)'!$H$11:$H$346&lt;=EOMONTH(A63,0))*('Парк (SAP)'!$J$11:$J$346&gt;=A63))</f>
        <v>13</v>
      </c>
      <c r="J63" s="33">
        <f>SUM(C63:I63)</f>
        <v>102</v>
      </c>
    </row>
    <row r="64">
      <c r="A64" s="31" t="n">
        <v>47119</v>
      </c>
      <c r="B64" s="32">
        <f>YEAR(A64)</f>
        <v>2029</v>
      </c>
      <c r="C64" s="32">
        <f>SUMPRODUCT(('Парк (SAP)'!$B$11:$B$346="Полюс Красноярск")*('Парк (SAP)'!$D$11:$D$346="NTE")*('Парк (SAP)'!$H$11:$H$346&lt;=EOMONTH(A64,0))*('Парк (SAP)'!$J$11:$J$346&gt;=A64))</f>
        <v>2</v>
      </c>
      <c r="D64" s="32">
        <f>SUMPRODUCT(('Парк (SAP)'!$B$11:$B$346="Полюс Красноярск")*('Парк (SAP)'!$D$11:$D$346="TR100")*('Парк (SAP)'!$H$11:$H$346&lt;=EOMONTH(A64,0))*('Парк (SAP)'!$J$11:$J$346&gt;=A64))</f>
        <v>0</v>
      </c>
      <c r="E64" s="32">
        <f>SUMPRODUCT(('Парк (SAP)'!$B$11:$B$346="Полюс Сухой Лог")*('Парк (SAP)'!$D$11:$D$346="NTE")*('Парк (SAP)'!$H$11:$H$346&lt;=EOMONTH(A64,0))*('Парк (SAP)'!$J$11:$J$346&gt;=A64))</f>
        <v>76</v>
      </c>
      <c r="F64" s="32">
        <f>SUMPRODUCT(('Парк (SAP)'!$B$11:$B$346="Полюс Сухой Лог")*('Парк (SAP)'!$D$11:$D$346="TR100")*('Парк (SAP)'!$H$11:$H$346&lt;=EOMONTH(A64,0))*('Парк (SAP)'!$J$11:$J$346&gt;=A64))</f>
        <v>0</v>
      </c>
      <c r="G64" s="32">
        <f>SUMPRODUCT(('Парк (SAP)'!$B$11:$B$346="Полюс Магадан")*('Парк (SAP)'!$D$11:$D$346="NTE")*('Парк (SAP)'!$H$11:$H$346&lt;=EOMONTH(A64,0))*('Парк (SAP)'!$J$11:$J$346&gt;=A64))</f>
        <v>8</v>
      </c>
      <c r="H64" s="32">
        <f>SUMPRODUCT(('Парк (SAP)'!$B$11:$B$346="Полюс Магадан")*('Парк (SAP)'!$D$11:$D$346="TR100")*('Парк (SAP)'!$H$11:$H$346&lt;=EOMONTH(A64,0))*('Парк (SAP)'!$J$11:$J$346&gt;=A64))</f>
        <v>0</v>
      </c>
      <c r="I64" s="32">
        <f>SUMPRODUCT(('Парк (SAP)'!$B$11:$B$346="Полюс Алдан")*('Парк (SAP)'!$D$11:$D$346="TR100")*('Парк (SAP)'!$H$11:$H$346&lt;=EOMONTH(A64,0))*('Парк (SAP)'!$J$11:$J$346&gt;=A64))</f>
        <v>13</v>
      </c>
      <c r="J64" s="33">
        <f>SUM(C64:I64)</f>
        <v>99</v>
      </c>
    </row>
    <row r="65">
      <c r="A65" s="31" t="n">
        <v>47150</v>
      </c>
      <c r="B65" s="32">
        <f>YEAR(A65)</f>
        <v>2029</v>
      </c>
      <c r="C65" s="32">
        <f>SUMPRODUCT(('Парк (SAP)'!$B$11:$B$346="Полюс Красноярск")*('Парк (SAP)'!$D$11:$D$346="NTE")*('Парк (SAP)'!$H$11:$H$346&lt;=EOMONTH(A65,0))*('Парк (SAP)'!$J$11:$J$346&gt;=A65))</f>
        <v>0</v>
      </c>
      <c r="D65" s="32">
        <f>SUMPRODUCT(('Парк (SAP)'!$B$11:$B$346="Полюс Красноярск")*('Парк (SAP)'!$D$11:$D$346="TR100")*('Парк (SAP)'!$H$11:$H$346&lt;=EOMONTH(A65,0))*('Парк (SAP)'!$J$11:$J$346&gt;=A65))</f>
        <v>0</v>
      </c>
      <c r="E65" s="32">
        <f>SUMPRODUCT(('Парк (SAP)'!$B$11:$B$346="Полюс Сухой Лог")*('Парк (SAP)'!$D$11:$D$346="NTE")*('Парк (SAP)'!$H$11:$H$346&lt;=EOMONTH(A65,0))*('Парк (SAP)'!$J$11:$J$346&gt;=A65))</f>
        <v>76</v>
      </c>
      <c r="F65" s="32">
        <f>SUMPRODUCT(('Парк (SAP)'!$B$11:$B$346="Полюс Сухой Лог")*('Парк (SAP)'!$D$11:$D$346="TR100")*('Парк (SAP)'!$H$11:$H$346&lt;=EOMONTH(A65,0))*('Парк (SAP)'!$J$11:$J$346&gt;=A65))</f>
        <v>0</v>
      </c>
      <c r="G65" s="32">
        <f>SUMPRODUCT(('Парк (SAP)'!$B$11:$B$346="Полюс Магадан")*('Парк (SAP)'!$D$11:$D$346="NTE")*('Парк (SAP)'!$H$11:$H$346&lt;=EOMONTH(A65,0))*('Парк (SAP)'!$J$11:$J$346&gt;=A65))</f>
        <v>4</v>
      </c>
      <c r="H65" s="32">
        <f>SUMPRODUCT(('Парк (SAP)'!$B$11:$B$346="Полюс Магадан")*('Парк (SAP)'!$D$11:$D$346="TR100")*('Парк (SAP)'!$H$11:$H$346&lt;=EOMONTH(A65,0))*('Парк (SAP)'!$J$11:$J$346&gt;=A65))</f>
        <v>0</v>
      </c>
      <c r="I65" s="32">
        <f>SUMPRODUCT(('Парк (SAP)'!$B$11:$B$346="Полюс Алдан")*('Парк (SAP)'!$D$11:$D$346="TR100")*('Парк (SAP)'!$H$11:$H$346&lt;=EOMONTH(A65,0))*('Парк (SAP)'!$J$11:$J$346&gt;=A65))</f>
        <v>11</v>
      </c>
      <c r="J65" s="33">
        <f>SUM(C65:I65)</f>
        <v>91</v>
      </c>
    </row>
    <row r="66">
      <c r="A66" s="31" t="n">
        <v>47178</v>
      </c>
      <c r="B66" s="32">
        <f>YEAR(A66)</f>
        <v>2029</v>
      </c>
      <c r="C66" s="32">
        <f>SUMPRODUCT(('Парк (SAP)'!$B$11:$B$346="Полюс Красноярск")*('Парк (SAP)'!$D$11:$D$346="NTE")*('Парк (SAP)'!$H$11:$H$346&lt;=EOMONTH(A66,0))*('Парк (SAP)'!$J$11:$J$346&gt;=A66))</f>
        <v>0</v>
      </c>
      <c r="D66" s="32">
        <f>SUMPRODUCT(('Парк (SAP)'!$B$11:$B$346="Полюс Красноярск")*('Парк (SAP)'!$D$11:$D$346="TR100")*('Парк (SAP)'!$H$11:$H$346&lt;=EOMONTH(A66,0))*('Парк (SAP)'!$J$11:$J$346&gt;=A66))</f>
        <v>0</v>
      </c>
      <c r="E66" s="32">
        <f>SUMPRODUCT(('Парк (SAP)'!$B$11:$B$346="Полюс Сухой Лог")*('Парк (SAP)'!$D$11:$D$346="NTE")*('Парк (SAP)'!$H$11:$H$346&lt;=EOMONTH(A66,0))*('Парк (SAP)'!$J$11:$J$346&gt;=A66))</f>
        <v>76</v>
      </c>
      <c r="F66" s="32">
        <f>SUMPRODUCT(('Парк (SAP)'!$B$11:$B$346="Полюс Сухой Лог")*('Парк (SAP)'!$D$11:$D$346="TR100")*('Парк (SAP)'!$H$11:$H$346&lt;=EOMONTH(A66,0))*('Парк (SAP)'!$J$11:$J$346&gt;=A66))</f>
        <v>0</v>
      </c>
      <c r="G66" s="32">
        <f>SUMPRODUCT(('Парк (SAP)'!$B$11:$B$346="Полюс Магадан")*('Парк (SAP)'!$D$11:$D$346="NTE")*('Парк (SAP)'!$H$11:$H$346&lt;=EOMONTH(A66,0))*('Парк (SAP)'!$J$11:$J$346&gt;=A66))</f>
        <v>1</v>
      </c>
      <c r="H66" s="32">
        <f>SUMPRODUCT(('Парк (SAP)'!$B$11:$B$346="Полюс Магадан")*('Парк (SAP)'!$D$11:$D$346="TR100")*('Парк (SAP)'!$H$11:$H$346&lt;=EOMONTH(A66,0))*('Парк (SAP)'!$J$11:$J$346&gt;=A66))</f>
        <v>0</v>
      </c>
      <c r="I66" s="32">
        <f>SUMPRODUCT(('Парк (SAP)'!$B$11:$B$346="Полюс Алдан")*('Парк (SAP)'!$D$11:$D$346="TR100")*('Парк (SAP)'!$H$11:$H$346&lt;=EOMONTH(A66,0))*('Парк (SAP)'!$J$11:$J$346&gt;=A66))</f>
        <v>7</v>
      </c>
      <c r="J66" s="33">
        <f>SUM(C66:I66)</f>
        <v>84</v>
      </c>
    </row>
    <row r="67">
      <c r="A67" s="31" t="n">
        <v>47209</v>
      </c>
      <c r="B67" s="32">
        <f>YEAR(A67)</f>
        <v>2029</v>
      </c>
      <c r="C67" s="32">
        <f>SUMPRODUCT(('Парк (SAP)'!$B$11:$B$346="Полюс Красноярск")*('Парк (SAP)'!$D$11:$D$346="NTE")*('Парк (SAP)'!$H$11:$H$346&lt;=EOMONTH(A67,0))*('Парк (SAP)'!$J$11:$J$346&gt;=A67))</f>
        <v>0</v>
      </c>
      <c r="D67" s="32">
        <f>SUMPRODUCT(('Парк (SAP)'!$B$11:$B$346="Полюс Красноярск")*('Парк (SAP)'!$D$11:$D$346="TR100")*('Парк (SAP)'!$H$11:$H$346&lt;=EOMONTH(A67,0))*('Парк (SAP)'!$J$11:$J$346&gt;=A67))</f>
        <v>0</v>
      </c>
      <c r="E67" s="32">
        <f>SUMPRODUCT(('Парк (SAP)'!$B$11:$B$346="Полюс Сухой Лог")*('Парк (SAP)'!$D$11:$D$346="NTE")*('Парк (SAP)'!$H$11:$H$346&lt;=EOMONTH(A67,0))*('Парк (SAP)'!$J$11:$J$346&gt;=A67))</f>
        <v>76</v>
      </c>
      <c r="F67" s="32">
        <f>SUMPRODUCT(('Парк (SAP)'!$B$11:$B$346="Полюс Сухой Лог")*('Парк (SAP)'!$D$11:$D$346="TR100")*('Парк (SAP)'!$H$11:$H$346&lt;=EOMONTH(A67,0))*('Парк (SAP)'!$J$11:$J$346&gt;=A67))</f>
        <v>0</v>
      </c>
      <c r="G67" s="32">
        <f>SUMPRODUCT(('Парк (SAP)'!$B$11:$B$346="Полюс Магадан")*('Парк (SAP)'!$D$11:$D$346="NTE")*('Парк (SAP)'!$H$11:$H$346&lt;=EOMONTH(A67,0))*('Парк (SAP)'!$J$11:$J$346&gt;=A67))</f>
        <v>1</v>
      </c>
      <c r="H67" s="32">
        <f>SUMPRODUCT(('Парк (SAP)'!$B$11:$B$346="Полюс Магадан")*('Парк (SAP)'!$D$11:$D$346="TR100")*('Парк (SAP)'!$H$11:$H$346&lt;=EOMONTH(A67,0))*('Парк (SAP)'!$J$11:$J$346&gt;=A67))</f>
        <v>0</v>
      </c>
      <c r="I67" s="32">
        <f>SUMPRODUCT(('Парк (SAP)'!$B$11:$B$346="Полюс Алдан")*('Парк (SAP)'!$D$11:$D$346="TR100")*('Парк (SAP)'!$H$11:$H$346&lt;=EOMONTH(A67,0))*('Парк (SAP)'!$J$11:$J$346&gt;=A67))</f>
        <v>7</v>
      </c>
      <c r="J67" s="33">
        <f>SUM(C67:I67)</f>
        <v>84</v>
      </c>
    </row>
    <row r="68">
      <c r="A68" s="31" t="n">
        <v>47239</v>
      </c>
      <c r="B68" s="32">
        <f>YEAR(A68)</f>
        <v>2029</v>
      </c>
      <c r="C68" s="32">
        <f>SUMPRODUCT(('Парк (SAP)'!$B$11:$B$346="Полюс Красноярск")*('Парк (SAP)'!$D$11:$D$346="NTE")*('Парк (SAP)'!$H$11:$H$346&lt;=EOMONTH(A68,0))*('Парк (SAP)'!$J$11:$J$346&gt;=A68))</f>
        <v>0</v>
      </c>
      <c r="D68" s="32">
        <f>SUMPRODUCT(('Парк (SAP)'!$B$11:$B$346="Полюс Красноярск")*('Парк (SAP)'!$D$11:$D$346="TR100")*('Парк (SAP)'!$H$11:$H$346&lt;=EOMONTH(A68,0))*('Парк (SAP)'!$J$11:$J$346&gt;=A68))</f>
        <v>0</v>
      </c>
      <c r="E68" s="32">
        <f>SUMPRODUCT(('Парк (SAP)'!$B$11:$B$346="Полюс Сухой Лог")*('Парк (SAP)'!$D$11:$D$346="NTE")*('Парк (SAP)'!$H$11:$H$346&lt;=EOMONTH(A68,0))*('Парк (SAP)'!$J$11:$J$346&gt;=A68))</f>
        <v>72</v>
      </c>
      <c r="F68" s="32">
        <f>SUMPRODUCT(('Парк (SAP)'!$B$11:$B$346="Полюс Сухой Лог")*('Парк (SAP)'!$D$11:$D$346="TR100")*('Парк (SAP)'!$H$11:$H$346&lt;=EOMONTH(A68,0))*('Парк (SAP)'!$J$11:$J$346&gt;=A68))</f>
        <v>0</v>
      </c>
      <c r="G68" s="32">
        <f>SUMPRODUCT(('Парк (SAP)'!$B$11:$B$346="Полюс Магадан")*('Парк (SAP)'!$D$11:$D$346="NTE")*('Парк (SAP)'!$H$11:$H$346&lt;=EOMONTH(A68,0))*('Парк (SAP)'!$J$11:$J$346&gt;=A68))</f>
        <v>1</v>
      </c>
      <c r="H68" s="32">
        <f>SUMPRODUCT(('Парк (SAP)'!$B$11:$B$346="Полюс Магадан")*('Парк (SAP)'!$D$11:$D$346="TR100")*('Парк (SAP)'!$H$11:$H$346&lt;=EOMONTH(A68,0))*('Парк (SAP)'!$J$11:$J$346&gt;=A68))</f>
        <v>0</v>
      </c>
      <c r="I68" s="32">
        <f>SUMPRODUCT(('Парк (SAP)'!$B$11:$B$346="Полюс Алдан")*('Парк (SAP)'!$D$11:$D$346="TR100")*('Парк (SAP)'!$H$11:$H$346&lt;=EOMONTH(A68,0))*('Парк (SAP)'!$J$11:$J$346&gt;=A68))</f>
        <v>3</v>
      </c>
      <c r="J68" s="33">
        <f>SUM(C68:I68)</f>
        <v>76</v>
      </c>
    </row>
    <row r="69">
      <c r="A69" s="31" t="n">
        <v>47270</v>
      </c>
      <c r="B69" s="32">
        <f>YEAR(A69)</f>
        <v>2029</v>
      </c>
      <c r="C69" s="32">
        <f>SUMPRODUCT(('Парк (SAP)'!$B$11:$B$346="Полюс Красноярск")*('Парк (SAP)'!$D$11:$D$346="NTE")*('Парк (SAP)'!$H$11:$H$346&lt;=EOMONTH(A69,0))*('Парк (SAP)'!$J$11:$J$346&gt;=A69))</f>
        <v>0</v>
      </c>
      <c r="D69" s="32">
        <f>SUMPRODUCT(('Парк (SAP)'!$B$11:$B$346="Полюс Красноярск")*('Парк (SAP)'!$D$11:$D$346="TR100")*('Парк (SAP)'!$H$11:$H$346&lt;=EOMONTH(A69,0))*('Парк (SAP)'!$J$11:$J$346&gt;=A69))</f>
        <v>0</v>
      </c>
      <c r="E69" s="32">
        <f>SUMPRODUCT(('Парк (SAP)'!$B$11:$B$346="Полюс Сухой Лог")*('Парк (SAP)'!$D$11:$D$346="NTE")*('Парк (SAP)'!$H$11:$H$346&lt;=EOMONTH(A69,0))*('Парк (SAP)'!$J$11:$J$346&gt;=A69))</f>
        <v>68</v>
      </c>
      <c r="F69" s="32">
        <f>SUMPRODUCT(('Парк (SAP)'!$B$11:$B$346="Полюс Сухой Лог")*('Парк (SAP)'!$D$11:$D$346="TR100")*('Парк (SAP)'!$H$11:$H$346&lt;=EOMONTH(A69,0))*('Парк (SAP)'!$J$11:$J$346&gt;=A69))</f>
        <v>0</v>
      </c>
      <c r="G69" s="32">
        <f>SUMPRODUCT(('Парк (SAP)'!$B$11:$B$346="Полюс Магадан")*('Парк (SAP)'!$D$11:$D$346="NTE")*('Парк (SAP)'!$H$11:$H$346&lt;=EOMONTH(A69,0))*('Парк (SAP)'!$J$11:$J$346&gt;=A69))</f>
        <v>1</v>
      </c>
      <c r="H69" s="32">
        <f>SUMPRODUCT(('Парк (SAP)'!$B$11:$B$346="Полюс Магадан")*('Парк (SAP)'!$D$11:$D$346="TR100")*('Парк (SAP)'!$H$11:$H$346&lt;=EOMONTH(A69,0))*('Парк (SAP)'!$J$11:$J$346&gt;=A69))</f>
        <v>0</v>
      </c>
      <c r="I69" s="32">
        <f>SUMPRODUCT(('Парк (SAP)'!$B$11:$B$346="Полюс Алдан")*('Парк (SAP)'!$D$11:$D$346="TR100")*('Парк (SAP)'!$H$11:$H$346&lt;=EOMONTH(A69,0))*('Парк (SAP)'!$J$11:$J$346&gt;=A69))</f>
        <v>0</v>
      </c>
      <c r="J69" s="33">
        <f>SUM(C69:I69)</f>
        <v>69</v>
      </c>
    </row>
    <row r="70">
      <c r="A70" s="31" t="n">
        <v>47300</v>
      </c>
      <c r="B70" s="32">
        <f>YEAR(A70)</f>
        <v>2029</v>
      </c>
      <c r="C70" s="32">
        <f>SUMPRODUCT(('Парк (SAP)'!$B$11:$B$346="Полюс Красноярск")*('Парк (SAP)'!$D$11:$D$346="NTE")*('Парк (SAP)'!$H$11:$H$346&lt;=EOMONTH(A70,0))*('Парк (SAP)'!$J$11:$J$346&gt;=A70))</f>
        <v>0</v>
      </c>
      <c r="D70" s="32">
        <f>SUMPRODUCT(('Парк (SAP)'!$B$11:$B$346="Полюс Красноярск")*('Парк (SAP)'!$D$11:$D$346="TR100")*('Парк (SAP)'!$H$11:$H$346&lt;=EOMONTH(A70,0))*('Парк (SAP)'!$J$11:$J$346&gt;=A70))</f>
        <v>0</v>
      </c>
      <c r="E70" s="32">
        <f>SUMPRODUCT(('Парк (SAP)'!$B$11:$B$346="Полюс Сухой Лог")*('Парк (SAP)'!$D$11:$D$346="NTE")*('Парк (SAP)'!$H$11:$H$346&lt;=EOMONTH(A70,0))*('Парк (SAP)'!$J$11:$J$346&gt;=A70))</f>
        <v>64</v>
      </c>
      <c r="F70" s="32">
        <f>SUMPRODUCT(('Парк (SAP)'!$B$11:$B$346="Полюс Сухой Лог")*('Парк (SAP)'!$D$11:$D$346="TR100")*('Парк (SAP)'!$H$11:$H$346&lt;=EOMONTH(A70,0))*('Парк (SAP)'!$J$11:$J$346&gt;=A70))</f>
        <v>0</v>
      </c>
      <c r="G70" s="32">
        <f>SUMPRODUCT(('Парк (SAP)'!$B$11:$B$346="Полюс Магадан")*('Парк (SAP)'!$D$11:$D$346="NTE")*('Парк (SAP)'!$H$11:$H$346&lt;=EOMONTH(A70,0))*('Парк (SAP)'!$J$11:$J$346&gt;=A70))</f>
        <v>1</v>
      </c>
      <c r="H70" s="32">
        <f>SUMPRODUCT(('Парк (SAP)'!$B$11:$B$346="Полюс Магадан")*('Парк (SAP)'!$D$11:$D$346="TR100")*('Парк (SAP)'!$H$11:$H$346&lt;=EOMONTH(A70,0))*('Парк (SAP)'!$J$11:$J$346&gt;=A70))</f>
        <v>0</v>
      </c>
      <c r="I70" s="32">
        <f>SUMPRODUCT(('Парк (SAP)'!$B$11:$B$346="Полюс Алдан")*('Парк (SAP)'!$D$11:$D$346="TR100")*('Парк (SAP)'!$H$11:$H$346&lt;=EOMONTH(A70,0))*('Парк (SAP)'!$J$11:$J$346&gt;=A70))</f>
        <v>0</v>
      </c>
      <c r="J70" s="33">
        <f>SUM(C70:I70)</f>
        <v>65</v>
      </c>
    </row>
    <row r="71">
      <c r="A71" s="31" t="n">
        <v>47331</v>
      </c>
      <c r="B71" s="32">
        <f>YEAR(A71)</f>
        <v>2029</v>
      </c>
      <c r="C71" s="32">
        <f>SUMPRODUCT(('Парк (SAP)'!$B$11:$B$346="Полюс Красноярск")*('Парк (SAP)'!$D$11:$D$346="NTE")*('Парк (SAP)'!$H$11:$H$346&lt;=EOMONTH(A71,0))*('Парк (SAP)'!$J$11:$J$346&gt;=A71))</f>
        <v>0</v>
      </c>
      <c r="D71" s="32">
        <f>SUMPRODUCT(('Парк (SAP)'!$B$11:$B$346="Полюс Красноярск")*('Парк (SAP)'!$D$11:$D$346="TR100")*('Парк (SAP)'!$H$11:$H$346&lt;=EOMONTH(A71,0))*('Парк (SAP)'!$J$11:$J$346&gt;=A71))</f>
        <v>0</v>
      </c>
      <c r="E71" s="32">
        <f>SUMPRODUCT(('Парк (SAP)'!$B$11:$B$346="Полюс Сухой Лог")*('Парк (SAP)'!$D$11:$D$346="NTE")*('Парк (SAP)'!$H$11:$H$346&lt;=EOMONTH(A71,0))*('Парк (SAP)'!$J$11:$J$346&gt;=A71))</f>
        <v>61</v>
      </c>
      <c r="F71" s="32">
        <f>SUMPRODUCT(('Парк (SAP)'!$B$11:$B$346="Полюс Сухой Лог")*('Парк (SAP)'!$D$11:$D$346="TR100")*('Парк (SAP)'!$H$11:$H$346&lt;=EOMONTH(A71,0))*('Парк (SAP)'!$J$11:$J$346&gt;=A71))</f>
        <v>0</v>
      </c>
      <c r="G71" s="32">
        <f>SUMPRODUCT(('Парк (SAP)'!$B$11:$B$346="Полюс Магадан")*('Парк (SAP)'!$D$11:$D$346="NTE")*('Парк (SAP)'!$H$11:$H$346&lt;=EOMONTH(A71,0))*('Парк (SAP)'!$J$11:$J$346&gt;=A71))</f>
        <v>1</v>
      </c>
      <c r="H71" s="32">
        <f>SUMPRODUCT(('Парк (SAP)'!$B$11:$B$346="Полюс Магадан")*('Парк (SAP)'!$D$11:$D$346="TR100")*('Парк (SAP)'!$H$11:$H$346&lt;=EOMONTH(A71,0))*('Парк (SAP)'!$J$11:$J$346&gt;=A71))</f>
        <v>0</v>
      </c>
      <c r="I71" s="32">
        <f>SUMPRODUCT(('Парк (SAP)'!$B$11:$B$346="Полюс Алдан")*('Парк (SAP)'!$D$11:$D$346="TR100")*('Парк (SAP)'!$H$11:$H$346&lt;=EOMONTH(A71,0))*('Парк (SAP)'!$J$11:$J$346&gt;=A71))</f>
        <v>0</v>
      </c>
      <c r="J71" s="33">
        <f>SUM(C71:I71)</f>
        <v>62</v>
      </c>
    </row>
    <row r="72">
      <c r="A72" s="31" t="n">
        <v>47362</v>
      </c>
      <c r="B72" s="32">
        <f>YEAR(A72)</f>
        <v>2029</v>
      </c>
      <c r="C72" s="32">
        <f>SUMPRODUCT(('Парк (SAP)'!$B$11:$B$346="Полюс Красноярск")*('Парк (SAP)'!$D$11:$D$346="NTE")*('Парк (SAP)'!$H$11:$H$346&lt;=EOMONTH(A72,0))*('Парк (SAP)'!$J$11:$J$346&gt;=A72))</f>
        <v>0</v>
      </c>
      <c r="D72" s="32">
        <f>SUMPRODUCT(('Парк (SAP)'!$B$11:$B$346="Полюс Красноярск")*('Парк (SAP)'!$D$11:$D$346="TR100")*('Парк (SAP)'!$H$11:$H$346&lt;=EOMONTH(A72,0))*('Парк (SAP)'!$J$11:$J$346&gt;=A72))</f>
        <v>0</v>
      </c>
      <c r="E72" s="32">
        <f>SUMPRODUCT(('Парк (SAP)'!$B$11:$B$346="Полюс Сухой Лог")*('Парк (SAP)'!$D$11:$D$346="NTE")*('Парк (SAP)'!$H$11:$H$346&lt;=EOMONTH(A72,0))*('Парк (SAP)'!$J$11:$J$346&gt;=A72))</f>
        <v>57</v>
      </c>
      <c r="F72" s="32">
        <f>SUMPRODUCT(('Парк (SAP)'!$B$11:$B$346="Полюс Сухой Лог")*('Парк (SAP)'!$D$11:$D$346="TR100")*('Парк (SAP)'!$H$11:$H$346&lt;=EOMONTH(A72,0))*('Парк (SAP)'!$J$11:$J$346&gt;=A72))</f>
        <v>0</v>
      </c>
      <c r="G72" s="32">
        <f>SUMPRODUCT(('Парк (SAP)'!$B$11:$B$346="Полюс Магадан")*('Парк (SAP)'!$D$11:$D$346="NTE")*('Парк (SAP)'!$H$11:$H$346&lt;=EOMONTH(A72,0))*('Парк (SAP)'!$J$11:$J$346&gt;=A72))</f>
        <v>0</v>
      </c>
      <c r="H72" s="32">
        <f>SUMPRODUCT(('Парк (SAP)'!$B$11:$B$346="Полюс Магадан")*('Парк (SAP)'!$D$11:$D$346="TR100")*('Парк (SAP)'!$H$11:$H$346&lt;=EOMONTH(A72,0))*('Парк (SAP)'!$J$11:$J$346&gt;=A72))</f>
        <v>0</v>
      </c>
      <c r="I72" s="32">
        <f>SUMPRODUCT(('Парк (SAP)'!$B$11:$B$346="Полюс Алдан")*('Парк (SAP)'!$D$11:$D$346="TR100")*('Парк (SAP)'!$H$11:$H$346&lt;=EOMONTH(A72,0))*('Парк (SAP)'!$J$11:$J$346&gt;=A72))</f>
        <v>0</v>
      </c>
      <c r="J72" s="33">
        <f>SUM(C72:I72)</f>
        <v>57</v>
      </c>
    </row>
    <row r="73">
      <c r="A73" s="31" t="n">
        <v>47392</v>
      </c>
      <c r="B73" s="32">
        <f>YEAR(A73)</f>
        <v>2029</v>
      </c>
      <c r="C73" s="32">
        <f>SUMPRODUCT(('Парк (SAP)'!$B$11:$B$346="Полюс Красноярск")*('Парк (SAP)'!$D$11:$D$346="NTE")*('Парк (SAP)'!$H$11:$H$346&lt;=EOMONTH(A73,0))*('Парк (SAP)'!$J$11:$J$346&gt;=A73))</f>
        <v>0</v>
      </c>
      <c r="D73" s="32">
        <f>SUMPRODUCT(('Парк (SAP)'!$B$11:$B$346="Полюс Красноярск")*('Парк (SAP)'!$D$11:$D$346="TR100")*('Парк (SAP)'!$H$11:$H$346&lt;=EOMONTH(A73,0))*('Парк (SAP)'!$J$11:$J$346&gt;=A73))</f>
        <v>0</v>
      </c>
      <c r="E73" s="32">
        <f>SUMPRODUCT(('Парк (SAP)'!$B$11:$B$346="Полюс Сухой Лог")*('Парк (SAP)'!$D$11:$D$346="NTE")*('Парк (SAP)'!$H$11:$H$346&lt;=EOMONTH(A73,0))*('Парк (SAP)'!$J$11:$J$346&gt;=A73))</f>
        <v>53</v>
      </c>
      <c r="F73" s="32">
        <f>SUMPRODUCT(('Парк (SAP)'!$B$11:$B$346="Полюс Сухой Лог")*('Парк (SAP)'!$D$11:$D$346="TR100")*('Парк (SAP)'!$H$11:$H$346&lt;=EOMONTH(A73,0))*('Парк (SAP)'!$J$11:$J$346&gt;=A73))</f>
        <v>0</v>
      </c>
      <c r="G73" s="32">
        <f>SUMPRODUCT(('Парк (SAP)'!$B$11:$B$346="Полюс Магадан")*('Парк (SAP)'!$D$11:$D$346="NTE")*('Парк (SAP)'!$H$11:$H$346&lt;=EOMONTH(A73,0))*('Парк (SAP)'!$J$11:$J$346&gt;=A73))</f>
        <v>0</v>
      </c>
      <c r="H73" s="32">
        <f>SUMPRODUCT(('Парк (SAP)'!$B$11:$B$346="Полюс Магадан")*('Парк (SAP)'!$D$11:$D$346="TR100")*('Парк (SAP)'!$H$11:$H$346&lt;=EOMONTH(A73,0))*('Парк (SAP)'!$J$11:$J$346&gt;=A73))</f>
        <v>0</v>
      </c>
      <c r="I73" s="32">
        <f>SUMPRODUCT(('Парк (SAP)'!$B$11:$B$346="Полюс Алдан")*('Парк (SAP)'!$D$11:$D$346="TR100")*('Парк (SAP)'!$H$11:$H$346&lt;=EOMONTH(A73,0))*('Парк (SAP)'!$J$11:$J$346&gt;=A73))</f>
        <v>0</v>
      </c>
      <c r="J73" s="33">
        <f>SUM(C73:I73)</f>
        <v>53</v>
      </c>
    </row>
    <row r="74">
      <c r="A74" s="31" t="n">
        <v>47423</v>
      </c>
      <c r="B74" s="32">
        <f>YEAR(A74)</f>
        <v>2029</v>
      </c>
      <c r="C74" s="32">
        <f>SUMPRODUCT(('Парк (SAP)'!$B$11:$B$346="Полюс Красноярск")*('Парк (SAP)'!$D$11:$D$346="NTE")*('Парк (SAP)'!$H$11:$H$346&lt;=EOMONTH(A74,0))*('Парк (SAP)'!$J$11:$J$346&gt;=A74))</f>
        <v>0</v>
      </c>
      <c r="D74" s="32">
        <f>SUMPRODUCT(('Парк (SAP)'!$B$11:$B$346="Полюс Красноярск")*('Парк (SAP)'!$D$11:$D$346="TR100")*('Парк (SAP)'!$H$11:$H$346&lt;=EOMONTH(A74,0))*('Парк (SAP)'!$J$11:$J$346&gt;=A74))</f>
        <v>0</v>
      </c>
      <c r="E74" s="32">
        <f>SUMPRODUCT(('Парк (SAP)'!$B$11:$B$346="Полюс Сухой Лог")*('Парк (SAP)'!$D$11:$D$346="NTE")*('Парк (SAP)'!$H$11:$H$346&lt;=EOMONTH(A74,0))*('Парк (SAP)'!$J$11:$J$346&gt;=A74))</f>
        <v>49</v>
      </c>
      <c r="F74" s="32">
        <f>SUMPRODUCT(('Парк (SAP)'!$B$11:$B$346="Полюс Сухой Лог")*('Парк (SAP)'!$D$11:$D$346="TR100")*('Парк (SAP)'!$H$11:$H$346&lt;=EOMONTH(A74,0))*('Парк (SAP)'!$J$11:$J$346&gt;=A74))</f>
        <v>0</v>
      </c>
      <c r="G74" s="32">
        <f>SUMPRODUCT(('Парк (SAP)'!$B$11:$B$346="Полюс Магадан")*('Парк (SAP)'!$D$11:$D$346="NTE")*('Парк (SAP)'!$H$11:$H$346&lt;=EOMONTH(A74,0))*('Парк (SAP)'!$J$11:$J$346&gt;=A74))</f>
        <v>0</v>
      </c>
      <c r="H74" s="32">
        <f>SUMPRODUCT(('Парк (SAP)'!$B$11:$B$346="Полюс Магадан")*('Парк (SAP)'!$D$11:$D$346="TR100")*('Парк (SAP)'!$H$11:$H$346&lt;=EOMONTH(A74,0))*('Парк (SAP)'!$J$11:$J$346&gt;=A74))</f>
        <v>0</v>
      </c>
      <c r="I74" s="32">
        <f>SUMPRODUCT(('Парк (SAP)'!$B$11:$B$346="Полюс Алдан")*('Парк (SAP)'!$D$11:$D$346="TR100")*('Парк (SAP)'!$H$11:$H$346&lt;=EOMONTH(A74,0))*('Парк (SAP)'!$J$11:$J$346&gt;=A74))</f>
        <v>0</v>
      </c>
      <c r="J74" s="33">
        <f>SUM(C74:I74)</f>
        <v>49</v>
      </c>
    </row>
    <row r="75">
      <c r="A75" s="31" t="n">
        <v>47453</v>
      </c>
      <c r="B75" s="32">
        <f>YEAR(A75)</f>
        <v>2029</v>
      </c>
      <c r="C75" s="32">
        <f>SUMPRODUCT(('Парк (SAP)'!$B$11:$B$346="Полюс Красноярск")*('Парк (SAP)'!$D$11:$D$346="NTE")*('Парк (SAP)'!$H$11:$H$346&lt;=EOMONTH(A75,0))*('Парк (SAP)'!$J$11:$J$346&gt;=A75))</f>
        <v>0</v>
      </c>
      <c r="D75" s="32">
        <f>SUMPRODUCT(('Парк (SAP)'!$B$11:$B$346="Полюс Красноярск")*('Парк (SAP)'!$D$11:$D$346="TR100")*('Парк (SAP)'!$H$11:$H$346&lt;=EOMONTH(A75,0))*('Парк (SAP)'!$J$11:$J$346&gt;=A75))</f>
        <v>0</v>
      </c>
      <c r="E75" s="32">
        <f>SUMPRODUCT(('Парк (SAP)'!$B$11:$B$346="Полюс Сухой Лог")*('Парк (SAP)'!$D$11:$D$346="NTE")*('Парк (SAP)'!$H$11:$H$346&lt;=EOMONTH(A75,0))*('Парк (SAP)'!$J$11:$J$346&gt;=A75))</f>
        <v>45</v>
      </c>
      <c r="F75" s="32">
        <f>SUMPRODUCT(('Парк (SAP)'!$B$11:$B$346="Полюс Сухой Лог")*('Парк (SAP)'!$D$11:$D$346="TR100")*('Парк (SAP)'!$H$11:$H$346&lt;=EOMONTH(A75,0))*('Парк (SAP)'!$J$11:$J$346&gt;=A75))</f>
        <v>0</v>
      </c>
      <c r="G75" s="32">
        <f>SUMPRODUCT(('Парк (SAP)'!$B$11:$B$346="Полюс Магадан")*('Парк (SAP)'!$D$11:$D$346="NTE")*('Парк (SAP)'!$H$11:$H$346&lt;=EOMONTH(A75,0))*('Парк (SAP)'!$J$11:$J$346&gt;=A75))</f>
        <v>0</v>
      </c>
      <c r="H75" s="32">
        <f>SUMPRODUCT(('Парк (SAP)'!$B$11:$B$346="Полюс Магадан")*('Парк (SAP)'!$D$11:$D$346="TR100")*('Парк (SAP)'!$H$11:$H$346&lt;=EOMONTH(A75,0))*('Парк (SAP)'!$J$11:$J$346&gt;=A75))</f>
        <v>0</v>
      </c>
      <c r="I75" s="32">
        <f>SUMPRODUCT(('Парк (SAP)'!$B$11:$B$346="Полюс Алдан")*('Парк (SAP)'!$D$11:$D$346="TR100")*('Парк (SAP)'!$H$11:$H$346&lt;=EOMONTH(A75,0))*('Парк (SAP)'!$J$11:$J$346&gt;=A75))</f>
        <v>0</v>
      </c>
      <c r="J75" s="33">
        <f>SUM(C75:I75)</f>
        <v>45</v>
      </c>
    </row>
    <row r="76">
      <c r="A76" s="31" t="n">
        <v>47484</v>
      </c>
      <c r="B76" s="32">
        <f>YEAR(A76)</f>
        <v>2030</v>
      </c>
      <c r="C76" s="32">
        <f>SUMPRODUCT(('Парк (SAP)'!$B$11:$B$346="Полюс Красноярск")*('Парк (SAP)'!$D$11:$D$346="NTE")*('Парк (SAP)'!$H$11:$H$346&lt;=EOMONTH(A76,0))*('Парк (SAP)'!$J$11:$J$346&gt;=A76))</f>
        <v>0</v>
      </c>
      <c r="D76" s="32">
        <f>SUMPRODUCT(('Парк (SAP)'!$B$11:$B$346="Полюс Красноярск")*('Парк (SAP)'!$D$11:$D$346="TR100")*('Парк (SAP)'!$H$11:$H$346&lt;=EOMONTH(A76,0))*('Парк (SAP)'!$J$11:$J$346&gt;=A76))</f>
        <v>0</v>
      </c>
      <c r="E76" s="32">
        <f>SUMPRODUCT(('Парк (SAP)'!$B$11:$B$346="Полюс Сухой Лог")*('Парк (SAP)'!$D$11:$D$346="NTE")*('Парк (SAP)'!$H$11:$H$346&lt;=EOMONTH(A76,0))*('Парк (SAP)'!$J$11:$J$346&gt;=A76))</f>
        <v>41</v>
      </c>
      <c r="F76" s="32">
        <f>SUMPRODUCT(('Парк (SAP)'!$B$11:$B$346="Полюс Сухой Лог")*('Парк (SAP)'!$D$11:$D$346="TR100")*('Парк (SAP)'!$H$11:$H$346&lt;=EOMONTH(A76,0))*('Парк (SAP)'!$J$11:$J$346&gt;=A76))</f>
        <v>0</v>
      </c>
      <c r="G76" s="32">
        <f>SUMPRODUCT(('Парк (SAP)'!$B$11:$B$346="Полюс Магадан")*('Парк (SAP)'!$D$11:$D$346="NTE")*('Парк (SAP)'!$H$11:$H$346&lt;=EOMONTH(A76,0))*('Парк (SAP)'!$J$11:$J$346&gt;=A76))</f>
        <v>0</v>
      </c>
      <c r="H76" s="32">
        <f>SUMPRODUCT(('Парк (SAP)'!$B$11:$B$346="Полюс Магадан")*('Парк (SAP)'!$D$11:$D$346="TR100")*('Парк (SAP)'!$H$11:$H$346&lt;=EOMONTH(A76,0))*('Парк (SAP)'!$J$11:$J$346&gt;=A76))</f>
        <v>0</v>
      </c>
      <c r="I76" s="32">
        <f>SUMPRODUCT(('Парк (SAP)'!$B$11:$B$346="Полюс Алдан")*('Парк (SAP)'!$D$11:$D$346="TR100")*('Парк (SAP)'!$H$11:$H$346&lt;=EOMONTH(A76,0))*('Парк (SAP)'!$J$11:$J$346&gt;=A76))</f>
        <v>0</v>
      </c>
      <c r="J76" s="33">
        <f>SUM(C76:I76)</f>
        <v>41</v>
      </c>
    </row>
    <row r="77">
      <c r="A77" s="31" t="n">
        <v>47515</v>
      </c>
      <c r="B77" s="32">
        <f>YEAR(A77)</f>
        <v>2030</v>
      </c>
      <c r="C77" s="32">
        <f>SUMPRODUCT(('Парк (SAP)'!$B$11:$B$346="Полюс Красноярск")*('Парк (SAP)'!$D$11:$D$346="NTE")*('Парк (SAP)'!$H$11:$H$346&lt;=EOMONTH(A77,0))*('Парк (SAP)'!$J$11:$J$346&gt;=A77))</f>
        <v>0</v>
      </c>
      <c r="D77" s="32">
        <f>SUMPRODUCT(('Парк (SAP)'!$B$11:$B$346="Полюс Красноярск")*('Парк (SAP)'!$D$11:$D$346="TR100")*('Парк (SAP)'!$H$11:$H$346&lt;=EOMONTH(A77,0))*('Парк (SAP)'!$J$11:$J$346&gt;=A77))</f>
        <v>0</v>
      </c>
      <c r="E77" s="32">
        <f>SUMPRODUCT(('Парк (SAP)'!$B$11:$B$346="Полюс Сухой Лог")*('Парк (SAP)'!$D$11:$D$346="NTE")*('Парк (SAP)'!$H$11:$H$346&lt;=EOMONTH(A77,0))*('Парк (SAP)'!$J$11:$J$346&gt;=A77))</f>
        <v>38</v>
      </c>
      <c r="F77" s="32">
        <f>SUMPRODUCT(('Парк (SAP)'!$B$11:$B$346="Полюс Сухой Лог")*('Парк (SAP)'!$D$11:$D$346="TR100")*('Парк (SAP)'!$H$11:$H$346&lt;=EOMONTH(A77,0))*('Парк (SAP)'!$J$11:$J$346&gt;=A77))</f>
        <v>0</v>
      </c>
      <c r="G77" s="32">
        <f>SUMPRODUCT(('Парк (SAP)'!$B$11:$B$346="Полюс Магадан")*('Парк (SAP)'!$D$11:$D$346="NTE")*('Парк (SAP)'!$H$11:$H$346&lt;=EOMONTH(A77,0))*('Парк (SAP)'!$J$11:$J$346&gt;=A77))</f>
        <v>0</v>
      </c>
      <c r="H77" s="32">
        <f>SUMPRODUCT(('Парк (SAP)'!$B$11:$B$346="Полюс Магадан")*('Парк (SAP)'!$D$11:$D$346="TR100")*('Парк (SAP)'!$H$11:$H$346&lt;=EOMONTH(A77,0))*('Парк (SAP)'!$J$11:$J$346&gt;=A77))</f>
        <v>0</v>
      </c>
      <c r="I77" s="32">
        <f>SUMPRODUCT(('Парк (SAP)'!$B$11:$B$346="Полюс Алдан")*('Парк (SAP)'!$D$11:$D$346="TR100")*('Парк (SAP)'!$H$11:$H$346&lt;=EOMONTH(A77,0))*('Парк (SAP)'!$J$11:$J$346&gt;=A77))</f>
        <v>0</v>
      </c>
      <c r="J77" s="33">
        <f>SUM(C77:I77)</f>
        <v>38</v>
      </c>
    </row>
    <row r="78">
      <c r="A78" s="31" t="n">
        <v>47543</v>
      </c>
      <c r="B78" s="32">
        <f>YEAR(A78)</f>
        <v>2030</v>
      </c>
      <c r="C78" s="32">
        <f>SUMPRODUCT(('Парк (SAP)'!$B$11:$B$346="Полюс Красноярск")*('Парк (SAP)'!$D$11:$D$346="NTE")*('Парк (SAP)'!$H$11:$H$346&lt;=EOMONTH(A78,0))*('Парк (SAP)'!$J$11:$J$346&gt;=A78))</f>
        <v>0</v>
      </c>
      <c r="D78" s="32">
        <f>SUMPRODUCT(('Парк (SAP)'!$B$11:$B$346="Полюс Красноярск")*('Парк (SAP)'!$D$11:$D$346="TR100")*('Парк (SAP)'!$H$11:$H$346&lt;=EOMONTH(A78,0))*('Парк (SAP)'!$J$11:$J$346&gt;=A78))</f>
        <v>0</v>
      </c>
      <c r="E78" s="32">
        <f>SUMPRODUCT(('Парк (SAP)'!$B$11:$B$346="Полюс Сухой Лог")*('Парк (SAP)'!$D$11:$D$346="NTE")*('Парк (SAP)'!$H$11:$H$346&lt;=EOMONTH(A78,0))*('Парк (SAP)'!$J$11:$J$346&gt;=A78))</f>
        <v>35</v>
      </c>
      <c r="F78" s="32">
        <f>SUMPRODUCT(('Парк (SAP)'!$B$11:$B$346="Полюс Сухой Лог")*('Парк (SAP)'!$D$11:$D$346="TR100")*('Парк (SAP)'!$H$11:$H$346&lt;=EOMONTH(A78,0))*('Парк (SAP)'!$J$11:$J$346&gt;=A78))</f>
        <v>0</v>
      </c>
      <c r="G78" s="32">
        <f>SUMPRODUCT(('Парк (SAP)'!$B$11:$B$346="Полюс Магадан")*('Парк (SAP)'!$D$11:$D$346="NTE")*('Парк (SAP)'!$H$11:$H$346&lt;=EOMONTH(A78,0))*('Парк (SAP)'!$J$11:$J$346&gt;=A78))</f>
        <v>0</v>
      </c>
      <c r="H78" s="32">
        <f>SUMPRODUCT(('Парк (SAP)'!$B$11:$B$346="Полюс Магадан")*('Парк (SAP)'!$D$11:$D$346="TR100")*('Парк (SAP)'!$H$11:$H$346&lt;=EOMONTH(A78,0))*('Парк (SAP)'!$J$11:$J$346&gt;=A78))</f>
        <v>0</v>
      </c>
      <c r="I78" s="32">
        <f>SUMPRODUCT(('Парк (SAP)'!$B$11:$B$346="Полюс Алдан")*('Парк (SAP)'!$D$11:$D$346="TR100")*('Парк (SAP)'!$H$11:$H$346&lt;=EOMONTH(A78,0))*('Парк (SAP)'!$J$11:$J$346&gt;=A78))</f>
        <v>0</v>
      </c>
      <c r="J78" s="33">
        <f>SUM(C78:I78)</f>
        <v>35</v>
      </c>
    </row>
    <row r="79">
      <c r="A79" s="31" t="n">
        <v>47574</v>
      </c>
      <c r="B79" s="32">
        <f>YEAR(A79)</f>
        <v>2030</v>
      </c>
      <c r="C79" s="32">
        <f>SUMPRODUCT(('Парк (SAP)'!$B$11:$B$346="Полюс Красноярск")*('Парк (SAP)'!$D$11:$D$346="NTE")*('Парк (SAP)'!$H$11:$H$346&lt;=EOMONTH(A79,0))*('Парк (SAP)'!$J$11:$J$346&gt;=A79))</f>
        <v>0</v>
      </c>
      <c r="D79" s="32">
        <f>SUMPRODUCT(('Парк (SAP)'!$B$11:$B$346="Полюс Красноярск")*('Парк (SAP)'!$D$11:$D$346="TR100")*('Парк (SAP)'!$H$11:$H$346&lt;=EOMONTH(A79,0))*('Парк (SAP)'!$J$11:$J$346&gt;=A79))</f>
        <v>0</v>
      </c>
      <c r="E79" s="32">
        <f>SUMPRODUCT(('Парк (SAP)'!$B$11:$B$346="Полюс Сухой Лог")*('Парк (SAP)'!$D$11:$D$346="NTE")*('Парк (SAP)'!$H$11:$H$346&lt;=EOMONTH(A79,0))*('Парк (SAP)'!$J$11:$J$346&gt;=A79))</f>
        <v>32</v>
      </c>
      <c r="F79" s="32">
        <f>SUMPRODUCT(('Парк (SAP)'!$B$11:$B$346="Полюс Сухой Лог")*('Парк (SAP)'!$D$11:$D$346="TR100")*('Парк (SAP)'!$H$11:$H$346&lt;=EOMONTH(A79,0))*('Парк (SAP)'!$J$11:$J$346&gt;=A79))</f>
        <v>0</v>
      </c>
      <c r="G79" s="32">
        <f>SUMPRODUCT(('Парк (SAP)'!$B$11:$B$346="Полюс Магадан")*('Парк (SAP)'!$D$11:$D$346="NTE")*('Парк (SAP)'!$H$11:$H$346&lt;=EOMONTH(A79,0))*('Парк (SAP)'!$J$11:$J$346&gt;=A79))</f>
        <v>0</v>
      </c>
      <c r="H79" s="32">
        <f>SUMPRODUCT(('Парк (SAP)'!$B$11:$B$346="Полюс Магадан")*('Парк (SAP)'!$D$11:$D$346="TR100")*('Парк (SAP)'!$H$11:$H$346&lt;=EOMONTH(A79,0))*('Парк (SAP)'!$J$11:$J$346&gt;=A79))</f>
        <v>0</v>
      </c>
      <c r="I79" s="32">
        <f>SUMPRODUCT(('Парк (SAP)'!$B$11:$B$346="Полюс Алдан")*('Парк (SAP)'!$D$11:$D$346="TR100")*('Парк (SAP)'!$H$11:$H$346&lt;=EOMONTH(A79,0))*('Парк (SAP)'!$J$11:$J$346&gt;=A79))</f>
        <v>0</v>
      </c>
      <c r="J79" s="33">
        <f>SUM(C79:I79)</f>
        <v>32</v>
      </c>
    </row>
    <row r="80">
      <c r="A80" s="31" t="n">
        <v>47604</v>
      </c>
      <c r="B80" s="32">
        <f>YEAR(A80)</f>
        <v>2030</v>
      </c>
      <c r="C80" s="32">
        <f>SUMPRODUCT(('Парк (SAP)'!$B$11:$B$346="Полюс Красноярск")*('Парк (SAP)'!$D$11:$D$346="NTE")*('Парк (SAP)'!$H$11:$H$346&lt;=EOMONTH(A80,0))*('Парк (SAP)'!$J$11:$J$346&gt;=A80))</f>
        <v>0</v>
      </c>
      <c r="D80" s="32">
        <f>SUMPRODUCT(('Парк (SAP)'!$B$11:$B$346="Полюс Красноярск")*('Парк (SAP)'!$D$11:$D$346="TR100")*('Парк (SAP)'!$H$11:$H$346&lt;=EOMONTH(A80,0))*('Парк (SAP)'!$J$11:$J$346&gt;=A80))</f>
        <v>0</v>
      </c>
      <c r="E80" s="32">
        <f>SUMPRODUCT(('Парк (SAP)'!$B$11:$B$346="Полюс Сухой Лог")*('Парк (SAP)'!$D$11:$D$346="NTE")*('Парк (SAP)'!$H$11:$H$346&lt;=EOMONTH(A80,0))*('Парк (SAP)'!$J$11:$J$346&gt;=A80))</f>
        <v>28</v>
      </c>
      <c r="F80" s="32">
        <f>SUMPRODUCT(('Парк (SAP)'!$B$11:$B$346="Полюс Сухой Лог")*('Парк (SAP)'!$D$11:$D$346="TR100")*('Парк (SAP)'!$H$11:$H$346&lt;=EOMONTH(A80,0))*('Парк (SAP)'!$J$11:$J$346&gt;=A80))</f>
        <v>0</v>
      </c>
      <c r="G80" s="32">
        <f>SUMPRODUCT(('Парк (SAP)'!$B$11:$B$346="Полюс Магадан")*('Парк (SAP)'!$D$11:$D$346="NTE")*('Парк (SAP)'!$H$11:$H$346&lt;=EOMONTH(A80,0))*('Парк (SAP)'!$J$11:$J$346&gt;=A80))</f>
        <v>0</v>
      </c>
      <c r="H80" s="32">
        <f>SUMPRODUCT(('Парк (SAP)'!$B$11:$B$346="Полюс Магадан")*('Парк (SAP)'!$D$11:$D$346="TR100")*('Парк (SAP)'!$H$11:$H$346&lt;=EOMONTH(A80,0))*('Парк (SAP)'!$J$11:$J$346&gt;=A80))</f>
        <v>0</v>
      </c>
      <c r="I80" s="32">
        <f>SUMPRODUCT(('Парк (SAP)'!$B$11:$B$346="Полюс Алдан")*('Парк (SAP)'!$D$11:$D$346="TR100")*('Парк (SAP)'!$H$11:$H$346&lt;=EOMONTH(A80,0))*('Парк (SAP)'!$J$11:$J$346&gt;=A80))</f>
        <v>0</v>
      </c>
      <c r="J80" s="33">
        <f>SUM(C80:I80)</f>
        <v>28</v>
      </c>
    </row>
    <row r="81">
      <c r="A81" s="31" t="n">
        <v>47635</v>
      </c>
      <c r="B81" s="32">
        <f>YEAR(A81)</f>
        <v>2030</v>
      </c>
      <c r="C81" s="32">
        <f>SUMPRODUCT(('Парк (SAP)'!$B$11:$B$346="Полюс Красноярск")*('Парк (SAP)'!$D$11:$D$346="NTE")*('Парк (SAP)'!$H$11:$H$346&lt;=EOMONTH(A81,0))*('Парк (SAP)'!$J$11:$J$346&gt;=A81))</f>
        <v>0</v>
      </c>
      <c r="D81" s="32">
        <f>SUMPRODUCT(('Парк (SAP)'!$B$11:$B$346="Полюс Красноярск")*('Парк (SAP)'!$D$11:$D$346="TR100")*('Парк (SAP)'!$H$11:$H$346&lt;=EOMONTH(A81,0))*('Парк (SAP)'!$J$11:$J$346&gt;=A81))</f>
        <v>0</v>
      </c>
      <c r="E81" s="32">
        <f>SUMPRODUCT(('Парк (SAP)'!$B$11:$B$346="Полюс Сухой Лог")*('Парк (SAP)'!$D$11:$D$346="NTE")*('Парк (SAP)'!$H$11:$H$346&lt;=EOMONTH(A81,0))*('Парк (SAP)'!$J$11:$J$346&gt;=A81))</f>
        <v>24</v>
      </c>
      <c r="F81" s="32">
        <f>SUMPRODUCT(('Парк (SAP)'!$B$11:$B$346="Полюс Сухой Лог")*('Парк (SAP)'!$D$11:$D$346="TR100")*('Парк (SAP)'!$H$11:$H$346&lt;=EOMONTH(A81,0))*('Парк (SAP)'!$J$11:$J$346&gt;=A81))</f>
        <v>0</v>
      </c>
      <c r="G81" s="32">
        <f>SUMPRODUCT(('Парк (SAP)'!$B$11:$B$346="Полюс Магадан")*('Парк (SAP)'!$D$11:$D$346="NTE")*('Парк (SAP)'!$H$11:$H$346&lt;=EOMONTH(A81,0))*('Парк (SAP)'!$J$11:$J$346&gt;=A81))</f>
        <v>0</v>
      </c>
      <c r="H81" s="32">
        <f>SUMPRODUCT(('Парк (SAP)'!$B$11:$B$346="Полюс Магадан")*('Парк (SAP)'!$D$11:$D$346="TR100")*('Парк (SAP)'!$H$11:$H$346&lt;=EOMONTH(A81,0))*('Парк (SAP)'!$J$11:$J$346&gt;=A81))</f>
        <v>0</v>
      </c>
      <c r="I81" s="32">
        <f>SUMPRODUCT(('Парк (SAP)'!$B$11:$B$346="Полюс Алдан")*('Парк (SAP)'!$D$11:$D$346="TR100")*('Парк (SAP)'!$H$11:$H$346&lt;=EOMONTH(A81,0))*('Парк (SAP)'!$J$11:$J$346&gt;=A81))</f>
        <v>0</v>
      </c>
      <c r="J81" s="33">
        <f>SUM(C81:I81)</f>
        <v>24</v>
      </c>
    </row>
    <row r="82">
      <c r="A82" s="31" t="n">
        <v>47665</v>
      </c>
      <c r="B82" s="32">
        <f>YEAR(A82)</f>
        <v>2030</v>
      </c>
      <c r="C82" s="32">
        <f>SUMPRODUCT(('Парк (SAP)'!$B$11:$B$346="Полюс Красноярск")*('Парк (SAP)'!$D$11:$D$346="NTE")*('Парк (SAP)'!$H$11:$H$346&lt;=EOMONTH(A82,0))*('Парк (SAP)'!$J$11:$J$346&gt;=A82))</f>
        <v>0</v>
      </c>
      <c r="D82" s="32">
        <f>SUMPRODUCT(('Парк (SAP)'!$B$11:$B$346="Полюс Красноярск")*('Парк (SAP)'!$D$11:$D$346="TR100")*('Парк (SAP)'!$H$11:$H$346&lt;=EOMONTH(A82,0))*('Парк (SAP)'!$J$11:$J$346&gt;=A82))</f>
        <v>0</v>
      </c>
      <c r="E82" s="32">
        <f>SUMPRODUCT(('Парк (SAP)'!$B$11:$B$346="Полюс Сухой Лог")*('Парк (SAP)'!$D$11:$D$346="NTE")*('Парк (SAP)'!$H$11:$H$346&lt;=EOMONTH(A82,0))*('Парк (SAP)'!$J$11:$J$346&gt;=A82))</f>
        <v>20</v>
      </c>
      <c r="F82" s="32">
        <f>SUMPRODUCT(('Парк (SAP)'!$B$11:$B$346="Полюс Сухой Лог")*('Парк (SAP)'!$D$11:$D$346="TR100")*('Парк (SAP)'!$H$11:$H$346&lt;=EOMONTH(A82,0))*('Парк (SAP)'!$J$11:$J$346&gt;=A82))</f>
        <v>0</v>
      </c>
      <c r="G82" s="32">
        <f>SUMPRODUCT(('Парк (SAP)'!$B$11:$B$346="Полюс Магадан")*('Парк (SAP)'!$D$11:$D$346="NTE")*('Парк (SAP)'!$H$11:$H$346&lt;=EOMONTH(A82,0))*('Парк (SAP)'!$J$11:$J$346&gt;=A82))</f>
        <v>0</v>
      </c>
      <c r="H82" s="32">
        <f>SUMPRODUCT(('Парк (SAP)'!$B$11:$B$346="Полюс Магадан")*('Парк (SAP)'!$D$11:$D$346="TR100")*('Парк (SAP)'!$H$11:$H$346&lt;=EOMONTH(A82,0))*('Парк (SAP)'!$J$11:$J$346&gt;=A82))</f>
        <v>0</v>
      </c>
      <c r="I82" s="32">
        <f>SUMPRODUCT(('Парк (SAP)'!$B$11:$B$346="Полюс Алдан")*('Парк (SAP)'!$D$11:$D$346="TR100")*('Парк (SAP)'!$H$11:$H$346&lt;=EOMONTH(A82,0))*('Парк (SAP)'!$J$11:$J$346&gt;=A82))</f>
        <v>0</v>
      </c>
      <c r="J82" s="33">
        <f>SUM(C82:I82)</f>
        <v>20</v>
      </c>
    </row>
    <row r="83">
      <c r="A83" s="31" t="n">
        <v>47696</v>
      </c>
      <c r="B83" s="32">
        <f>YEAR(A83)</f>
        <v>2030</v>
      </c>
      <c r="C83" s="32">
        <f>SUMPRODUCT(('Парк (SAP)'!$B$11:$B$346="Полюс Красноярск")*('Парк (SAP)'!$D$11:$D$346="NTE")*('Парк (SAP)'!$H$11:$H$346&lt;=EOMONTH(A83,0))*('Парк (SAP)'!$J$11:$J$346&gt;=A83))</f>
        <v>0</v>
      </c>
      <c r="D83" s="32">
        <f>SUMPRODUCT(('Парк (SAP)'!$B$11:$B$346="Полюс Красноярск")*('Парк (SAP)'!$D$11:$D$346="TR100")*('Парк (SAP)'!$H$11:$H$346&lt;=EOMONTH(A83,0))*('Парк (SAP)'!$J$11:$J$346&gt;=A83))</f>
        <v>0</v>
      </c>
      <c r="E83" s="32">
        <f>SUMPRODUCT(('Парк (SAP)'!$B$11:$B$346="Полюс Сухой Лог")*('Парк (SAP)'!$D$11:$D$346="NTE")*('Парк (SAP)'!$H$11:$H$346&lt;=EOMONTH(A83,0))*('Парк (SAP)'!$J$11:$J$346&gt;=A83))</f>
        <v>17</v>
      </c>
      <c r="F83" s="32">
        <f>SUMPRODUCT(('Парк (SAP)'!$B$11:$B$346="Полюс Сухой Лог")*('Парк (SAP)'!$D$11:$D$346="TR100")*('Парк (SAP)'!$H$11:$H$346&lt;=EOMONTH(A83,0))*('Парк (SAP)'!$J$11:$J$346&gt;=A83))</f>
        <v>0</v>
      </c>
      <c r="G83" s="32">
        <f>SUMPRODUCT(('Парк (SAP)'!$B$11:$B$346="Полюс Магадан")*('Парк (SAP)'!$D$11:$D$346="NTE")*('Парк (SAP)'!$H$11:$H$346&lt;=EOMONTH(A83,0))*('Парк (SAP)'!$J$11:$J$346&gt;=A83))</f>
        <v>0</v>
      </c>
      <c r="H83" s="32">
        <f>SUMPRODUCT(('Парк (SAP)'!$B$11:$B$346="Полюс Магадан")*('Парк (SAP)'!$D$11:$D$346="TR100")*('Парк (SAP)'!$H$11:$H$346&lt;=EOMONTH(A83,0))*('Парк (SAP)'!$J$11:$J$346&gt;=A83))</f>
        <v>0</v>
      </c>
      <c r="I83" s="32">
        <f>SUMPRODUCT(('Парк (SAP)'!$B$11:$B$346="Полюс Алдан")*('Парк (SAP)'!$D$11:$D$346="TR100")*('Парк (SAP)'!$H$11:$H$346&lt;=EOMONTH(A83,0))*('Парк (SAP)'!$J$11:$J$346&gt;=A83))</f>
        <v>0</v>
      </c>
      <c r="J83" s="33">
        <f>SUM(C83:I83)</f>
        <v>17</v>
      </c>
    </row>
    <row r="84">
      <c r="A84" s="31" t="n">
        <v>47727</v>
      </c>
      <c r="B84" s="32">
        <f>YEAR(A84)</f>
        <v>2030</v>
      </c>
      <c r="C84" s="32">
        <f>SUMPRODUCT(('Парк (SAP)'!$B$11:$B$346="Полюс Красноярск")*('Парк (SAP)'!$D$11:$D$346="NTE")*('Парк (SAP)'!$H$11:$H$346&lt;=EOMONTH(A84,0))*('Парк (SAP)'!$J$11:$J$346&gt;=A84))</f>
        <v>0</v>
      </c>
      <c r="D84" s="32">
        <f>SUMPRODUCT(('Парк (SAP)'!$B$11:$B$346="Полюс Красноярск")*('Парк (SAP)'!$D$11:$D$346="TR100")*('Парк (SAP)'!$H$11:$H$346&lt;=EOMONTH(A84,0))*('Парк (SAP)'!$J$11:$J$346&gt;=A84))</f>
        <v>0</v>
      </c>
      <c r="E84" s="32">
        <f>SUMPRODUCT(('Парк (SAP)'!$B$11:$B$346="Полюс Сухой Лог")*('Парк (SAP)'!$D$11:$D$346="NTE")*('Парк (SAP)'!$H$11:$H$346&lt;=EOMONTH(A84,0))*('Парк (SAP)'!$J$11:$J$346&gt;=A84))</f>
        <v>16</v>
      </c>
      <c r="F84" s="32">
        <f>SUMPRODUCT(('Парк (SAP)'!$B$11:$B$346="Полюс Сухой Лог")*('Парк (SAP)'!$D$11:$D$346="TR100")*('Парк (SAP)'!$H$11:$H$346&lt;=EOMONTH(A84,0))*('Парк (SAP)'!$J$11:$J$346&gt;=A84))</f>
        <v>0</v>
      </c>
      <c r="G84" s="32">
        <f>SUMPRODUCT(('Парк (SAP)'!$B$11:$B$346="Полюс Магадан")*('Парк (SAP)'!$D$11:$D$346="NTE")*('Парк (SAP)'!$H$11:$H$346&lt;=EOMONTH(A84,0))*('Парк (SAP)'!$J$11:$J$346&gt;=A84))</f>
        <v>0</v>
      </c>
      <c r="H84" s="32">
        <f>SUMPRODUCT(('Парк (SAP)'!$B$11:$B$346="Полюс Магадан")*('Парк (SAP)'!$D$11:$D$346="TR100")*('Парк (SAP)'!$H$11:$H$346&lt;=EOMONTH(A84,0))*('Парк (SAP)'!$J$11:$J$346&gt;=A84))</f>
        <v>0</v>
      </c>
      <c r="I84" s="32">
        <f>SUMPRODUCT(('Парк (SAP)'!$B$11:$B$346="Полюс Алдан")*('Парк (SAP)'!$D$11:$D$346="TR100")*('Парк (SAP)'!$H$11:$H$346&lt;=EOMONTH(A84,0))*('Парк (SAP)'!$J$11:$J$346&gt;=A84))</f>
        <v>0</v>
      </c>
      <c r="J84" s="33">
        <f>SUM(C84:I84)</f>
        <v>16</v>
      </c>
    </row>
    <row r="85">
      <c r="A85" s="31" t="n">
        <v>47757</v>
      </c>
      <c r="B85" s="32">
        <f>YEAR(A85)</f>
        <v>2030</v>
      </c>
      <c r="C85" s="32">
        <f>SUMPRODUCT(('Парк (SAP)'!$B$11:$B$346="Полюс Красноярск")*('Парк (SAP)'!$D$11:$D$346="NTE")*('Парк (SAP)'!$H$11:$H$346&lt;=EOMONTH(A85,0))*('Парк (SAP)'!$J$11:$J$346&gt;=A85))</f>
        <v>0</v>
      </c>
      <c r="D85" s="32">
        <f>SUMPRODUCT(('Парк (SAP)'!$B$11:$B$346="Полюс Красноярск")*('Парк (SAP)'!$D$11:$D$346="TR100")*('Парк (SAP)'!$H$11:$H$346&lt;=EOMONTH(A85,0))*('Парк (SAP)'!$J$11:$J$346&gt;=A85))</f>
        <v>0</v>
      </c>
      <c r="E85" s="32">
        <f>SUMPRODUCT(('Парк (SAP)'!$B$11:$B$346="Полюс Сухой Лог")*('Парк (SAP)'!$D$11:$D$346="NTE")*('Парк (SAP)'!$H$11:$H$346&lt;=EOMONTH(A85,0))*('Парк (SAP)'!$J$11:$J$346&gt;=A85))</f>
        <v>15</v>
      </c>
      <c r="F85" s="32">
        <f>SUMPRODUCT(('Парк (SAP)'!$B$11:$B$346="Полюс Сухой Лог")*('Парк (SAP)'!$D$11:$D$346="TR100")*('Парк (SAP)'!$H$11:$H$346&lt;=EOMONTH(A85,0))*('Парк (SAP)'!$J$11:$J$346&gt;=A85))</f>
        <v>0</v>
      </c>
      <c r="G85" s="32">
        <f>SUMPRODUCT(('Парк (SAP)'!$B$11:$B$346="Полюс Магадан")*('Парк (SAP)'!$D$11:$D$346="NTE")*('Парк (SAP)'!$H$11:$H$346&lt;=EOMONTH(A85,0))*('Парк (SAP)'!$J$11:$J$346&gt;=A85))</f>
        <v>0</v>
      </c>
      <c r="H85" s="32">
        <f>SUMPRODUCT(('Парк (SAP)'!$B$11:$B$346="Полюс Магадан")*('Парк (SAP)'!$D$11:$D$346="TR100")*('Парк (SAP)'!$H$11:$H$346&lt;=EOMONTH(A85,0))*('Парк (SAP)'!$J$11:$J$346&gt;=A85))</f>
        <v>0</v>
      </c>
      <c r="I85" s="32">
        <f>SUMPRODUCT(('Парк (SAP)'!$B$11:$B$346="Полюс Алдан")*('Парк (SAP)'!$D$11:$D$346="TR100")*('Парк (SAP)'!$H$11:$H$346&lt;=EOMONTH(A85,0))*('Парк (SAP)'!$J$11:$J$346&gt;=A85))</f>
        <v>0</v>
      </c>
      <c r="J85" s="33">
        <f>SUM(C85:I85)</f>
        <v>15</v>
      </c>
    </row>
    <row r="86">
      <c r="A86" s="31" t="n">
        <v>47788</v>
      </c>
      <c r="B86" s="32">
        <f>YEAR(A86)</f>
        <v>2030</v>
      </c>
      <c r="C86" s="32">
        <f>SUMPRODUCT(('Парк (SAP)'!$B$11:$B$346="Полюс Красноярск")*('Парк (SAP)'!$D$11:$D$346="NTE")*('Парк (SAP)'!$H$11:$H$346&lt;=EOMONTH(A86,0))*('Парк (SAP)'!$J$11:$J$346&gt;=A86))</f>
        <v>0</v>
      </c>
      <c r="D86" s="32">
        <f>SUMPRODUCT(('Парк (SAP)'!$B$11:$B$346="Полюс Красноярск")*('Парк (SAP)'!$D$11:$D$346="TR100")*('Парк (SAP)'!$H$11:$H$346&lt;=EOMONTH(A86,0))*('Парк (SAP)'!$J$11:$J$346&gt;=A86))</f>
        <v>0</v>
      </c>
      <c r="E86" s="32">
        <f>SUMPRODUCT(('Парк (SAP)'!$B$11:$B$346="Полюс Сухой Лог")*('Парк (SAP)'!$D$11:$D$346="NTE")*('Парк (SAP)'!$H$11:$H$346&lt;=EOMONTH(A86,0))*('Парк (SAP)'!$J$11:$J$346&gt;=A86))</f>
        <v>11</v>
      </c>
      <c r="F86" s="32">
        <f>SUMPRODUCT(('Парк (SAP)'!$B$11:$B$346="Полюс Сухой Лог")*('Парк (SAP)'!$D$11:$D$346="TR100")*('Парк (SAP)'!$H$11:$H$346&lt;=EOMONTH(A86,0))*('Парк (SAP)'!$J$11:$J$346&gt;=A86))</f>
        <v>0</v>
      </c>
      <c r="G86" s="32">
        <f>SUMPRODUCT(('Парк (SAP)'!$B$11:$B$346="Полюс Магадан")*('Парк (SAP)'!$D$11:$D$346="NTE")*('Парк (SAP)'!$H$11:$H$346&lt;=EOMONTH(A86,0))*('Парк (SAP)'!$J$11:$J$346&gt;=A86))</f>
        <v>0</v>
      </c>
      <c r="H86" s="32">
        <f>SUMPRODUCT(('Парк (SAP)'!$B$11:$B$346="Полюс Магадан")*('Парк (SAP)'!$D$11:$D$346="TR100")*('Парк (SAP)'!$H$11:$H$346&lt;=EOMONTH(A86,0))*('Парк (SAP)'!$J$11:$J$346&gt;=A86))</f>
        <v>0</v>
      </c>
      <c r="I86" s="32">
        <f>SUMPRODUCT(('Парк (SAP)'!$B$11:$B$346="Полюс Алдан")*('Парк (SAP)'!$D$11:$D$346="TR100")*('Парк (SAP)'!$H$11:$H$346&lt;=EOMONTH(A86,0))*('Парк (SAP)'!$J$11:$J$346&gt;=A86))</f>
        <v>0</v>
      </c>
      <c r="J86" s="33">
        <f>SUM(C86:I86)</f>
        <v>11</v>
      </c>
    </row>
    <row r="87">
      <c r="A87" s="31" t="n">
        <v>47818</v>
      </c>
      <c r="B87" s="32">
        <f>YEAR(A87)</f>
        <v>2030</v>
      </c>
      <c r="C87" s="32">
        <f>SUMPRODUCT(('Парк (SAP)'!$B$11:$B$346="Полюс Красноярск")*('Парк (SAP)'!$D$11:$D$346="NTE")*('Парк (SAP)'!$H$11:$H$346&lt;=EOMONTH(A87,0))*('Парк (SAP)'!$J$11:$J$346&gt;=A87))</f>
        <v>0</v>
      </c>
      <c r="D87" s="32">
        <f>SUMPRODUCT(('Парк (SAP)'!$B$11:$B$346="Полюс Красноярск")*('Парк (SAP)'!$D$11:$D$346="TR100")*('Парк (SAP)'!$H$11:$H$346&lt;=EOMONTH(A87,0))*('Парк (SAP)'!$J$11:$J$346&gt;=A87))</f>
        <v>0</v>
      </c>
      <c r="E87" s="32">
        <f>SUMPRODUCT(('Парк (SAP)'!$B$11:$B$346="Полюс Сухой Лог")*('Парк (SAP)'!$D$11:$D$346="NTE")*('Парк (SAP)'!$H$11:$H$346&lt;=EOMONTH(A87,0))*('Парк (SAP)'!$J$11:$J$346&gt;=A87))</f>
        <v>7</v>
      </c>
      <c r="F87" s="32">
        <f>SUMPRODUCT(('Парк (SAP)'!$B$11:$B$346="Полюс Сухой Лог")*('Парк (SAP)'!$D$11:$D$346="TR100")*('Парк (SAP)'!$H$11:$H$346&lt;=EOMONTH(A87,0))*('Парк (SAP)'!$J$11:$J$346&gt;=A87))</f>
        <v>0</v>
      </c>
      <c r="G87" s="32">
        <f>SUMPRODUCT(('Парк (SAP)'!$B$11:$B$346="Полюс Магадан")*('Парк (SAP)'!$D$11:$D$346="NTE")*('Парк (SAP)'!$H$11:$H$346&lt;=EOMONTH(A87,0))*('Парк (SAP)'!$J$11:$J$346&gt;=A87))</f>
        <v>0</v>
      </c>
      <c r="H87" s="32">
        <f>SUMPRODUCT(('Парк (SAP)'!$B$11:$B$346="Полюс Магадан")*('Парк (SAP)'!$D$11:$D$346="TR100")*('Парк (SAP)'!$H$11:$H$346&lt;=EOMONTH(A87,0))*('Парк (SAP)'!$J$11:$J$346&gt;=A87))</f>
        <v>0</v>
      </c>
      <c r="I87" s="32">
        <f>SUMPRODUCT(('Парк (SAP)'!$B$11:$B$346="Полюс Алдан")*('Парк (SAP)'!$D$11:$D$346="TR100")*('Парк (SAP)'!$H$11:$H$346&lt;=EOMONTH(A87,0))*('Парк (SAP)'!$J$11:$J$346&gt;=A87))</f>
        <v>0</v>
      </c>
      <c r="J87" s="33">
        <f>SUM(C87:I87)</f>
        <v>7</v>
      </c>
    </row>
    <row r="88">
      <c r="A88" s="31" t="n">
        <v>47849</v>
      </c>
      <c r="B88" s="32">
        <f>YEAR(A88)</f>
        <v>2031</v>
      </c>
      <c r="C88" s="32">
        <f>SUMPRODUCT(('Парк (SAP)'!$B$11:$B$346="Полюс Красноярск")*('Парк (SAP)'!$D$11:$D$346="NTE")*('Парк (SAP)'!$H$11:$H$346&lt;=EOMONTH(A88,0))*('Парк (SAP)'!$J$11:$J$346&gt;=A88))</f>
        <v>0</v>
      </c>
      <c r="D88" s="32">
        <f>SUMPRODUCT(('Парк (SAP)'!$B$11:$B$346="Полюс Красноярск")*('Парк (SAP)'!$D$11:$D$346="TR100")*('Парк (SAP)'!$H$11:$H$346&lt;=EOMONTH(A88,0))*('Парк (SAP)'!$J$11:$J$346&gt;=A88))</f>
        <v>0</v>
      </c>
      <c r="E88" s="32">
        <f>SUMPRODUCT(('Парк (SAP)'!$B$11:$B$346="Полюс Сухой Лог")*('Парк (SAP)'!$D$11:$D$346="NTE")*('Парк (SAP)'!$H$11:$H$346&lt;=EOMONTH(A88,0))*('Парк (SAP)'!$J$11:$J$346&gt;=A88))</f>
        <v>3</v>
      </c>
      <c r="F88" s="32">
        <f>SUMPRODUCT(('Парк (SAP)'!$B$11:$B$346="Полюс Сухой Лог")*('Парк (SAP)'!$D$11:$D$346="TR100")*('Парк (SAP)'!$H$11:$H$346&lt;=EOMONTH(A88,0))*('Парк (SAP)'!$J$11:$J$346&gt;=A88))</f>
        <v>0</v>
      </c>
      <c r="G88" s="32">
        <f>SUMPRODUCT(('Парк (SAP)'!$B$11:$B$346="Полюс Магадан")*('Парк (SAP)'!$D$11:$D$346="NTE")*('Парк (SAP)'!$H$11:$H$346&lt;=EOMONTH(A88,0))*('Парк (SAP)'!$J$11:$J$346&gt;=A88))</f>
        <v>0</v>
      </c>
      <c r="H88" s="32">
        <f>SUMPRODUCT(('Парк (SAP)'!$B$11:$B$346="Полюс Магадан")*('Парк (SAP)'!$D$11:$D$346="TR100")*('Парк (SAP)'!$H$11:$H$346&lt;=EOMONTH(A88,0))*('Парк (SAP)'!$J$11:$J$346&gt;=A88))</f>
        <v>0</v>
      </c>
      <c r="I88" s="32">
        <f>SUMPRODUCT(('Парк (SAP)'!$B$11:$B$346="Полюс Алдан")*('Парк (SAP)'!$D$11:$D$346="TR100")*('Парк (SAP)'!$H$11:$H$346&lt;=EOMONTH(A88,0))*('Парк (SAP)'!$J$11:$J$346&gt;=A88))</f>
        <v>0</v>
      </c>
      <c r="J88" s="33">
        <f>SUM(C88:I88)</f>
        <v>3</v>
      </c>
    </row>
    <row r="89">
      <c r="A89" s="31" t="n">
        <v>47880</v>
      </c>
      <c r="B89" s="32">
        <f>YEAR(A89)</f>
        <v>2031</v>
      </c>
      <c r="C89" s="32">
        <f>SUMPRODUCT(('Парк (SAP)'!$B$11:$B$346="Полюс Красноярск")*('Парк (SAP)'!$D$11:$D$346="NTE")*('Парк (SAP)'!$H$11:$H$346&lt;=EOMONTH(A89,0))*('Парк (SAP)'!$J$11:$J$346&gt;=A89))</f>
        <v>0</v>
      </c>
      <c r="D89" s="32">
        <f>SUMPRODUCT(('Парк (SAP)'!$B$11:$B$346="Полюс Красноярск")*('Парк (SAP)'!$D$11:$D$346="TR100")*('Парк (SAP)'!$H$11:$H$346&lt;=EOMONTH(A89,0))*('Парк (SAP)'!$J$11:$J$346&gt;=A89))</f>
        <v>0</v>
      </c>
      <c r="E89" s="32">
        <f>SUMPRODUCT(('Парк (SAP)'!$B$11:$B$346="Полюс Сухой Лог")*('Парк (SAP)'!$D$11:$D$346="NTE")*('Парк (SAP)'!$H$11:$H$346&lt;=EOMONTH(A89,0))*('Парк (SAP)'!$J$11:$J$346&gt;=A89))</f>
        <v>0</v>
      </c>
      <c r="F89" s="32">
        <f>SUMPRODUCT(('Парк (SAP)'!$B$11:$B$346="Полюс Сухой Лог")*('Парк (SAP)'!$D$11:$D$346="TR100")*('Парк (SAP)'!$H$11:$H$346&lt;=EOMONTH(A89,0))*('Парк (SAP)'!$J$11:$J$346&gt;=A89))</f>
        <v>0</v>
      </c>
      <c r="G89" s="32">
        <f>SUMPRODUCT(('Парк (SAP)'!$B$11:$B$346="Полюс Магадан")*('Парк (SAP)'!$D$11:$D$346="NTE")*('Парк (SAP)'!$H$11:$H$346&lt;=EOMONTH(A89,0))*('Парк (SAP)'!$J$11:$J$346&gt;=A89))</f>
        <v>0</v>
      </c>
      <c r="H89" s="32">
        <f>SUMPRODUCT(('Парк (SAP)'!$B$11:$B$346="Полюс Магадан")*('Парк (SAP)'!$D$11:$D$346="TR100")*('Парк (SAP)'!$H$11:$H$346&lt;=EOMONTH(A89,0))*('Парк (SAP)'!$J$11:$J$346&gt;=A89))</f>
        <v>0</v>
      </c>
      <c r="I89" s="32">
        <f>SUMPRODUCT(('Парк (SAP)'!$B$11:$B$346="Полюс Алдан")*('Парк (SAP)'!$D$11:$D$346="TR100")*('Парк (SAP)'!$H$11:$H$346&lt;=EOMONTH(A89,0))*('Парк (SAP)'!$J$11:$J$346&gt;=A89))</f>
        <v>0</v>
      </c>
      <c r="J89" s="33">
        <f>SUM(C89:I89)</f>
        <v>0</v>
      </c>
    </row>
    <row r="90">
      <c r="A90" s="31" t="n">
        <v>47908</v>
      </c>
      <c r="B90" s="32">
        <f>YEAR(A90)</f>
        <v>2031</v>
      </c>
      <c r="C90" s="32">
        <f>SUMPRODUCT(('Парк (SAP)'!$B$11:$B$346="Полюс Красноярск")*('Парк (SAP)'!$D$11:$D$346="NTE")*('Парк (SAP)'!$H$11:$H$346&lt;=EOMONTH(A90,0))*('Парк (SAP)'!$J$11:$J$346&gt;=A90))</f>
        <v>0</v>
      </c>
      <c r="D90" s="32">
        <f>SUMPRODUCT(('Парк (SAP)'!$B$11:$B$346="Полюс Красноярск")*('Парк (SAP)'!$D$11:$D$346="TR100")*('Парк (SAP)'!$H$11:$H$346&lt;=EOMONTH(A90,0))*('Парк (SAP)'!$J$11:$J$346&gt;=A90))</f>
        <v>0</v>
      </c>
      <c r="E90" s="32">
        <f>SUMPRODUCT(('Парк (SAP)'!$B$11:$B$346="Полюс Сухой Лог")*('Парк (SAP)'!$D$11:$D$346="NTE")*('Парк (SAP)'!$H$11:$H$346&lt;=EOMONTH(A90,0))*('Парк (SAP)'!$J$11:$J$346&gt;=A90))</f>
        <v>0</v>
      </c>
      <c r="F90" s="32">
        <f>SUMPRODUCT(('Парк (SAP)'!$B$11:$B$346="Полюс Сухой Лог")*('Парк (SAP)'!$D$11:$D$346="TR100")*('Парк (SAP)'!$H$11:$H$346&lt;=EOMONTH(A90,0))*('Парк (SAP)'!$J$11:$J$346&gt;=A90))</f>
        <v>0</v>
      </c>
      <c r="G90" s="32">
        <f>SUMPRODUCT(('Парк (SAP)'!$B$11:$B$346="Полюс Магадан")*('Парк (SAP)'!$D$11:$D$346="NTE")*('Парк (SAP)'!$H$11:$H$346&lt;=EOMONTH(A90,0))*('Парк (SAP)'!$J$11:$J$346&gt;=A90))</f>
        <v>0</v>
      </c>
      <c r="H90" s="32">
        <f>SUMPRODUCT(('Парк (SAP)'!$B$11:$B$346="Полюс Магадан")*('Парк (SAP)'!$D$11:$D$346="TR100")*('Парк (SAP)'!$H$11:$H$346&lt;=EOMONTH(A90,0))*('Парк (SAP)'!$J$11:$J$346&gt;=A90))</f>
        <v>0</v>
      </c>
      <c r="I90" s="32">
        <f>SUMPRODUCT(('Парк (SAP)'!$B$11:$B$346="Полюс Алдан")*('Парк (SAP)'!$D$11:$D$346="TR100")*('Парк (SAP)'!$H$11:$H$346&lt;=EOMONTH(A90,0))*('Парк (SAP)'!$J$11:$J$346&gt;=A90))</f>
        <v>0</v>
      </c>
      <c r="J90" s="33">
        <f>SUM(C90:I90)</f>
        <v>0</v>
      </c>
    </row>
    <row r="91">
      <c r="A91" s="31" t="n">
        <v>47939</v>
      </c>
      <c r="B91" s="32">
        <f>YEAR(A91)</f>
        <v>2031</v>
      </c>
      <c r="C91" s="32">
        <f>SUMPRODUCT(('Парк (SAP)'!$B$11:$B$346="Полюс Красноярск")*('Парк (SAP)'!$D$11:$D$346="NTE")*('Парк (SAP)'!$H$11:$H$346&lt;=EOMONTH(A91,0))*('Парк (SAP)'!$J$11:$J$346&gt;=A91))</f>
        <v>0</v>
      </c>
      <c r="D91" s="32">
        <f>SUMPRODUCT(('Парк (SAP)'!$B$11:$B$346="Полюс Красноярск")*('Парк (SAP)'!$D$11:$D$346="TR100")*('Парк (SAP)'!$H$11:$H$346&lt;=EOMONTH(A91,0))*('Парк (SAP)'!$J$11:$J$346&gt;=A91))</f>
        <v>0</v>
      </c>
      <c r="E91" s="32">
        <f>SUMPRODUCT(('Парк (SAP)'!$B$11:$B$346="Полюс Сухой Лог")*('Парк (SAP)'!$D$11:$D$346="NTE")*('Парк (SAP)'!$H$11:$H$346&lt;=EOMONTH(A91,0))*('Парк (SAP)'!$J$11:$J$346&gt;=A91))</f>
        <v>0</v>
      </c>
      <c r="F91" s="32">
        <f>SUMPRODUCT(('Парк (SAP)'!$B$11:$B$346="Полюс Сухой Лог")*('Парк (SAP)'!$D$11:$D$346="TR100")*('Парк (SAP)'!$H$11:$H$346&lt;=EOMONTH(A91,0))*('Парк (SAP)'!$J$11:$J$346&gt;=A91))</f>
        <v>0</v>
      </c>
      <c r="G91" s="32">
        <f>SUMPRODUCT(('Парк (SAP)'!$B$11:$B$346="Полюс Магадан")*('Парк (SAP)'!$D$11:$D$346="NTE")*('Парк (SAP)'!$H$11:$H$346&lt;=EOMONTH(A91,0))*('Парк (SAP)'!$J$11:$J$346&gt;=A91))</f>
        <v>0</v>
      </c>
      <c r="H91" s="32">
        <f>SUMPRODUCT(('Парк (SAP)'!$B$11:$B$346="Полюс Магадан")*('Парк (SAP)'!$D$11:$D$346="TR100")*('Парк (SAP)'!$H$11:$H$346&lt;=EOMONTH(A91,0))*('Парк (SAP)'!$J$11:$J$346&gt;=A91))</f>
        <v>0</v>
      </c>
      <c r="I91" s="32">
        <f>SUMPRODUCT(('Парк (SAP)'!$B$11:$B$346="Полюс Алдан")*('Парк (SAP)'!$D$11:$D$346="TR100")*('Парк (SAP)'!$H$11:$H$346&lt;=EOMONTH(A91,0))*('Парк (SAP)'!$J$11:$J$346&gt;=A91))</f>
        <v>0</v>
      </c>
      <c r="J91" s="33">
        <f>SUM(C91:I91)</f>
        <v>0</v>
      </c>
    </row>
    <row r="92">
      <c r="A92" s="31" t="n">
        <v>47969</v>
      </c>
      <c r="B92" s="32">
        <f>YEAR(A92)</f>
        <v>2031</v>
      </c>
      <c r="C92" s="32">
        <f>SUMPRODUCT(('Парк (SAP)'!$B$11:$B$346="Полюс Красноярск")*('Парк (SAP)'!$D$11:$D$346="NTE")*('Парк (SAP)'!$H$11:$H$346&lt;=EOMONTH(A92,0))*('Парк (SAP)'!$J$11:$J$346&gt;=A92))</f>
        <v>0</v>
      </c>
      <c r="D92" s="32">
        <f>SUMPRODUCT(('Парк (SAP)'!$B$11:$B$346="Полюс Красноярск")*('Парк (SAP)'!$D$11:$D$346="TR100")*('Парк (SAP)'!$H$11:$H$346&lt;=EOMONTH(A92,0))*('Парк (SAP)'!$J$11:$J$346&gt;=A92))</f>
        <v>0</v>
      </c>
      <c r="E92" s="32">
        <f>SUMPRODUCT(('Парк (SAP)'!$B$11:$B$346="Полюс Сухой Лог")*('Парк (SAP)'!$D$11:$D$346="NTE")*('Парк (SAP)'!$H$11:$H$346&lt;=EOMONTH(A92,0))*('Парк (SAP)'!$J$11:$J$346&gt;=A92))</f>
        <v>0</v>
      </c>
      <c r="F92" s="32">
        <f>SUMPRODUCT(('Парк (SAP)'!$B$11:$B$346="Полюс Сухой Лог")*('Парк (SAP)'!$D$11:$D$346="TR100")*('Парк (SAP)'!$H$11:$H$346&lt;=EOMONTH(A92,0))*('Парк (SAP)'!$J$11:$J$346&gt;=A92))</f>
        <v>0</v>
      </c>
      <c r="G92" s="32">
        <f>SUMPRODUCT(('Парк (SAP)'!$B$11:$B$346="Полюс Магадан")*('Парк (SAP)'!$D$11:$D$346="NTE")*('Парк (SAP)'!$H$11:$H$346&lt;=EOMONTH(A92,0))*('Парк (SAP)'!$J$11:$J$346&gt;=A92))</f>
        <v>0</v>
      </c>
      <c r="H92" s="32">
        <f>SUMPRODUCT(('Парк (SAP)'!$B$11:$B$346="Полюс Магадан")*('Парк (SAP)'!$D$11:$D$346="TR100")*('Парк (SAP)'!$H$11:$H$346&lt;=EOMONTH(A92,0))*('Парк (SAP)'!$J$11:$J$346&gt;=A92))</f>
        <v>0</v>
      </c>
      <c r="I92" s="32">
        <f>SUMPRODUCT(('Парк (SAP)'!$B$11:$B$346="Полюс Алдан")*('Парк (SAP)'!$D$11:$D$346="TR100")*('Парк (SAP)'!$H$11:$H$346&lt;=EOMONTH(A92,0))*('Парк (SAP)'!$J$11:$J$346&gt;=A92))</f>
        <v>0</v>
      </c>
      <c r="J92" s="33">
        <f>SUM(C92:I92)</f>
        <v>0</v>
      </c>
    </row>
    <row r="93">
      <c r="A93" s="31" t="n">
        <v>48000</v>
      </c>
      <c r="B93" s="32">
        <f>YEAR(A93)</f>
        <v>2031</v>
      </c>
      <c r="C93" s="32">
        <f>SUMPRODUCT(('Парк (SAP)'!$B$11:$B$346="Полюс Красноярск")*('Парк (SAP)'!$D$11:$D$346="NTE")*('Парк (SAP)'!$H$11:$H$346&lt;=EOMONTH(A93,0))*('Парк (SAP)'!$J$11:$J$346&gt;=A93))</f>
        <v>0</v>
      </c>
      <c r="D93" s="32">
        <f>SUMPRODUCT(('Парк (SAP)'!$B$11:$B$346="Полюс Красноярск")*('Парк (SAP)'!$D$11:$D$346="TR100")*('Парк (SAP)'!$H$11:$H$346&lt;=EOMONTH(A93,0))*('Парк (SAP)'!$J$11:$J$346&gt;=A93))</f>
        <v>0</v>
      </c>
      <c r="E93" s="32">
        <f>SUMPRODUCT(('Парк (SAP)'!$B$11:$B$346="Полюс Сухой Лог")*('Парк (SAP)'!$D$11:$D$346="NTE")*('Парк (SAP)'!$H$11:$H$346&lt;=EOMONTH(A93,0))*('Парк (SAP)'!$J$11:$J$346&gt;=A93))</f>
        <v>0</v>
      </c>
      <c r="F93" s="32">
        <f>SUMPRODUCT(('Парк (SAP)'!$B$11:$B$346="Полюс Сухой Лог")*('Парк (SAP)'!$D$11:$D$346="TR100")*('Парк (SAP)'!$H$11:$H$346&lt;=EOMONTH(A93,0))*('Парк (SAP)'!$J$11:$J$346&gt;=A93))</f>
        <v>0</v>
      </c>
      <c r="G93" s="32">
        <f>SUMPRODUCT(('Парк (SAP)'!$B$11:$B$346="Полюс Магадан")*('Парк (SAP)'!$D$11:$D$346="NTE")*('Парк (SAP)'!$H$11:$H$346&lt;=EOMONTH(A93,0))*('Парк (SAP)'!$J$11:$J$346&gt;=A93))</f>
        <v>0</v>
      </c>
      <c r="H93" s="32">
        <f>SUMPRODUCT(('Парк (SAP)'!$B$11:$B$346="Полюс Магадан")*('Парк (SAP)'!$D$11:$D$346="TR100")*('Парк (SAP)'!$H$11:$H$346&lt;=EOMONTH(A93,0))*('Парк (SAP)'!$J$11:$J$346&gt;=A93))</f>
        <v>0</v>
      </c>
      <c r="I93" s="32">
        <f>SUMPRODUCT(('Парк (SAP)'!$B$11:$B$346="Полюс Алдан")*('Парк (SAP)'!$D$11:$D$346="TR100")*('Парк (SAP)'!$H$11:$H$346&lt;=EOMONTH(A93,0))*('Парк (SAP)'!$J$11:$J$346&gt;=A93))</f>
        <v>0</v>
      </c>
      <c r="J93" s="33">
        <f>SUM(C93:I93)</f>
        <v>0</v>
      </c>
    </row>
    <row r="95">
      <c r="A95" s="34" t="inlineStr">
        <is>
          <t>ПИК</t>
        </is>
      </c>
      <c r="C95" s="35">
        <f>MAX(C5:C93)</f>
        <v>53</v>
      </c>
      <c r="D95" s="35">
        <f>MAX(D5:D93)</f>
        <v>22</v>
      </c>
      <c r="E95" s="35">
        <f>MAX(E5:E93)</f>
        <v>76</v>
      </c>
      <c r="F95" s="35">
        <f>MAX(F5:F93)</f>
        <v>9</v>
      </c>
      <c r="G95" s="35">
        <f>MAX(G5:G93)</f>
        <v>34</v>
      </c>
      <c r="H95" s="35">
        <f>MAX(H5:H93)</f>
        <v>7</v>
      </c>
      <c r="I95" s="35">
        <f>MAX(I5:I93)</f>
        <v>28</v>
      </c>
      <c r="J95" s="35">
        <f>MAX(J5:J93)</f>
        <v>151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3" customWidth="1" min="5" max="5"/>
    <col width="15" customWidth="1" min="6" max="6"/>
  </cols>
  <sheetData>
    <row r="1" ht="24" customHeight="1">
      <c r="A1" s="1" t="inlineStr">
        <is>
          <t>ОФ — РАСЧЁТ ПО МЕСЯЦАМ (ПО ПЛОЩАДКАМ И МОДЕЛЯМ)</t>
        </is>
      </c>
    </row>
    <row r="2" ht="42" customHeight="1">
      <c r="A2" s="20" t="inlineStr">
        <is>
          <t>Отдельный помесячный расчёт (аналог отчёта Power BI): ввод в эксплуатацию, парк на гарантии, выход из гарантии — по месяцам, с фильтром по площадке и марке. Срок гарантии здесь — единый параметр (упрощение для этого расчёта); детальный расчёт с раздельным сроком NTE/TR100 — на листе «Парк (SAP)».</t>
        </is>
      </c>
    </row>
    <row r="4">
      <c r="A4" s="11" t="inlineStr">
        <is>
          <t>Площадка (БЕ)</t>
        </is>
      </c>
      <c r="C4" s="24" t="inlineStr">
        <is>
          <t>(Все)</t>
        </is>
      </c>
      <c r="D4" s="38" t="n"/>
      <c r="E4" s="11" t="inlineStr">
        <is>
          <t>Марка</t>
        </is>
      </c>
      <c r="G4" s="24" t="inlineStr">
        <is>
          <t>(Все)</t>
        </is>
      </c>
      <c r="H4" s="38" t="n"/>
    </row>
    <row r="5">
      <c r="A5" s="11" t="inlineStr">
        <is>
          <t>Срок гарантии для этого расчёта, мес</t>
        </is>
      </c>
      <c r="C5" s="24" t="n">
        <v>24</v>
      </c>
    </row>
    <row r="7" ht="30" customHeight="1">
      <c r="A7" s="40" t="inlineStr">
        <is>
          <t>Месяц</t>
        </is>
      </c>
      <c r="B7" s="40" t="inlineStr">
        <is>
          <t>Введено на
гарантию</t>
        </is>
      </c>
      <c r="C7" s="40" t="inlineStr">
        <is>
          <t>Машин на
гарантии</t>
        </is>
      </c>
      <c r="D7" s="40" t="inlineStr">
        <is>
          <t>Сошло с
гарантии</t>
        </is>
      </c>
      <c r="E7" s="40" t="inlineStr">
        <is>
          <t>Машин в
эксплуатации</t>
        </is>
      </c>
      <c r="F7" s="40" t="inlineStr">
        <is>
          <t>Сошло с гарантии
(накопитель)</t>
        </is>
      </c>
    </row>
    <row r="8">
      <c r="A8" s="43" t="n">
        <v>45292</v>
      </c>
      <c r="B8" s="32">
        <f>SUMPRODUCT(((YEAR('Парк (SAP)'!$H$11:$H$346)*12+MONTH('Парк (SAP)'!$H$11:$H$346)-1)=(YEAR($A8)*12+MONTH($A8)-1))*((($C4="(Все)")+('Парк (SAP)'!$B$11:$B$346=$C4)&gt;0))*((($G4="(Все)")+('Парк (SAP)'!$C$11:$C$346=$G4)&gt;0)))</f>
        <v>0</v>
      </c>
      <c r="C8" s="32">
        <f>E8</f>
        <v>0</v>
      </c>
      <c r="D8" s="32">
        <f>SUMPRODUCT((((YEAR('Парк (SAP)'!$H$11:$H$346)*12+MONTH('Парк (SAP)'!$H$11:$H$346)-1)+$C5)=(YEAR($A8)*12+MONTH($A8)-1))*((($C4="(Все)")+('Парк (SAP)'!$B$11:$B$346=$C4)&gt;0))*((($G4="(Все)")+('Парк (SAP)'!$C$11:$C$346=$G4)&gt;0)))</f>
        <v>0</v>
      </c>
      <c r="E8" s="32">
        <f>SUMPRODUCT(((YEAR('Парк (SAP)'!$H$11:$H$346)*12+MONTH('Парк (SAP)'!$H$11:$H$346)-1)&lt;=(YEAR($A8)*12+MONTH($A8)-1))*((($C4="(Все)")+('Парк (SAP)'!$B$11:$B$346=$C4)&gt;0))*((($G4="(Все)")+('Парк (SAP)'!$C$11:$C$346=$G4)&gt;0)))</f>
        <v>0</v>
      </c>
      <c r="F8" s="32">
        <f>SUMPRODUCT((((YEAR('Парк (SAP)'!$H$11:$H$346)*12+MONTH('Парк (SAP)'!$H$11:$H$346)-1)+$C5)&lt;=(YEAR($A8)*12+MONTH($A8)-1))*((($C4="(Все)")+('Парк (SAP)'!$B$11:$B$346=$C4)&gt;0))*((($G4="(Все)")+('Парк (SAP)'!$C$11:$C$346=$G4)&gt;0)))</f>
        <v>0</v>
      </c>
    </row>
    <row r="9">
      <c r="A9" s="43" t="n">
        <v>45323</v>
      </c>
      <c r="B9" s="32">
        <f>SUMPRODUCT(((YEAR('Парк (SAP)'!$H$11:$H$346)*12+MONTH('Парк (SAP)'!$H$11:$H$346)-1)=(YEAR($A9)*12+MONTH($A9)-1))*((($C4="(Все)")+('Парк (SAP)'!$B$11:$B$346=$C4)&gt;0))*((($G4="(Все)")+('Парк (SAP)'!$C$11:$C$346=$G4)&gt;0)))</f>
        <v>9</v>
      </c>
      <c r="C9" s="32">
        <f>E9-F8</f>
        <v>9</v>
      </c>
      <c r="D9" s="32">
        <f>SUMPRODUCT((((YEAR('Парк (SAP)'!$H$11:$H$346)*12+MONTH('Парк (SAP)'!$H$11:$H$346)-1)+$C5)=(YEAR($A9)*12+MONTH($A9)-1))*((($C4="(Все)")+('Парк (SAP)'!$B$11:$B$346=$C4)&gt;0))*((($G4="(Все)")+('Парк (SAP)'!$C$11:$C$346=$G4)&gt;0)))</f>
        <v>0</v>
      </c>
      <c r="E9" s="32">
        <f>SUMPRODUCT(((YEAR('Парк (SAP)'!$H$11:$H$346)*12+MONTH('Парк (SAP)'!$H$11:$H$346)-1)&lt;=(YEAR($A9)*12+MONTH($A9)-1))*((($C4="(Все)")+('Парк (SAP)'!$B$11:$B$346=$C4)&gt;0))*((($G4="(Все)")+('Парк (SAP)'!$C$11:$C$346=$G4)&gt;0)))</f>
        <v>9</v>
      </c>
      <c r="F9" s="32">
        <f>SUMPRODUCT((((YEAR('Парк (SAP)'!$H$11:$H$346)*12+MONTH('Парк (SAP)'!$H$11:$H$346)-1)+$C5)&lt;=(YEAR($A9)*12+MONTH($A9)-1))*((($C4="(Все)")+('Парк (SAP)'!$B$11:$B$346=$C4)&gt;0))*((($G4="(Все)")+('Парк (SAP)'!$C$11:$C$346=$G4)&gt;0)))</f>
        <v>0</v>
      </c>
    </row>
    <row r="10">
      <c r="A10" s="43" t="n">
        <v>45352</v>
      </c>
      <c r="B10" s="32">
        <f>SUMPRODUCT(((YEAR('Парк (SAP)'!$H$11:$H$346)*12+MONTH('Парк (SAP)'!$H$11:$H$346)-1)=(YEAR($A10)*12+MONTH($A10)-1))*((($C4="(Все)")+('Парк (SAP)'!$B$11:$B$346=$C4)&gt;0))*((($G4="(Все)")+('Парк (SAP)'!$C$11:$C$346=$G4)&gt;0)))</f>
        <v>10</v>
      </c>
      <c r="C10" s="32">
        <f>E10-F9</f>
        <v>19</v>
      </c>
      <c r="D10" s="32">
        <f>SUMPRODUCT((((YEAR('Парк (SAP)'!$H$11:$H$346)*12+MONTH('Парк (SAP)'!$H$11:$H$346)-1)+$C5)=(YEAR($A10)*12+MONTH($A10)-1))*((($C4="(Все)")+('Парк (SAP)'!$B$11:$B$346=$C4)&gt;0))*((($G4="(Все)")+('Парк (SAP)'!$C$11:$C$346=$G4)&gt;0)))</f>
        <v>0</v>
      </c>
      <c r="E10" s="32">
        <f>SUMPRODUCT(((YEAR('Парк (SAP)'!$H$11:$H$346)*12+MONTH('Парк (SAP)'!$H$11:$H$346)-1)&lt;=(YEAR($A10)*12+MONTH($A10)-1))*((($C4="(Все)")+('Парк (SAP)'!$B$11:$B$346=$C4)&gt;0))*((($G4="(Все)")+('Парк (SAP)'!$C$11:$C$346=$G4)&gt;0)))</f>
        <v>19</v>
      </c>
      <c r="F10" s="32">
        <f>SUMPRODUCT((((YEAR('Парк (SAP)'!$H$11:$H$346)*12+MONTH('Парк (SAP)'!$H$11:$H$346)-1)+$C5)&lt;=(YEAR($A10)*12+MONTH($A10)-1))*((($C4="(Все)")+('Парк (SAP)'!$B$11:$B$346=$C4)&gt;0))*((($G4="(Все)")+('Парк (SAP)'!$C$11:$C$346=$G4)&gt;0)))</f>
        <v>0</v>
      </c>
    </row>
    <row r="11">
      <c r="A11" s="43" t="n">
        <v>45383</v>
      </c>
      <c r="B11" s="32">
        <f>SUMPRODUCT(((YEAR('Парк (SAP)'!$H$11:$H$346)*12+MONTH('Парк (SAP)'!$H$11:$H$346)-1)=(YEAR($A11)*12+MONTH($A11)-1))*((($C4="(Все)")+('Парк (SAP)'!$B$11:$B$346=$C4)&gt;0))*((($G4="(Все)")+('Парк (SAP)'!$C$11:$C$346=$G4)&gt;0)))</f>
        <v>10</v>
      </c>
      <c r="C11" s="32">
        <f>E11-F10</f>
        <v>29</v>
      </c>
      <c r="D11" s="32">
        <f>SUMPRODUCT((((YEAR('Парк (SAP)'!$H$11:$H$346)*12+MONTH('Парк (SAP)'!$H$11:$H$346)-1)+$C5)=(YEAR($A11)*12+MONTH($A11)-1))*((($C4="(Все)")+('Парк (SAP)'!$B$11:$B$346=$C4)&gt;0))*((($G4="(Все)")+('Парк (SAP)'!$C$11:$C$346=$G4)&gt;0)))</f>
        <v>0</v>
      </c>
      <c r="E11" s="32">
        <f>SUMPRODUCT(((YEAR('Парк (SAP)'!$H$11:$H$346)*12+MONTH('Парк (SAP)'!$H$11:$H$346)-1)&lt;=(YEAR($A11)*12+MONTH($A11)-1))*((($C4="(Все)")+('Парк (SAP)'!$B$11:$B$346=$C4)&gt;0))*((($G4="(Все)")+('Парк (SAP)'!$C$11:$C$346=$G4)&gt;0)))</f>
        <v>29</v>
      </c>
      <c r="F11" s="32">
        <f>SUMPRODUCT((((YEAR('Парк (SAP)'!$H$11:$H$346)*12+MONTH('Парк (SAP)'!$H$11:$H$346)-1)+$C5)&lt;=(YEAR($A11)*12+MONTH($A11)-1))*((($C4="(Все)")+('Парк (SAP)'!$B$11:$B$346=$C4)&gt;0))*((($G4="(Все)")+('Парк (SAP)'!$C$11:$C$346=$G4)&gt;0)))</f>
        <v>0</v>
      </c>
    </row>
    <row r="12">
      <c r="A12" s="43" t="n">
        <v>45413</v>
      </c>
      <c r="B12" s="32">
        <f>SUMPRODUCT(((YEAR('Парк (SAP)'!$H$11:$H$346)*12+MONTH('Парк (SAP)'!$H$11:$H$346)-1)=(YEAR($A12)*12+MONTH($A12)-1))*((($C4="(Все)")+('Парк (SAP)'!$B$11:$B$346=$C4)&gt;0))*((($G4="(Все)")+('Парк (SAP)'!$C$11:$C$346=$G4)&gt;0)))</f>
        <v>11</v>
      </c>
      <c r="C12" s="32">
        <f>E12-F11</f>
        <v>40</v>
      </c>
      <c r="D12" s="32">
        <f>SUMPRODUCT((((YEAR('Парк (SAP)'!$H$11:$H$346)*12+MONTH('Парк (SAP)'!$H$11:$H$346)-1)+$C5)=(YEAR($A12)*12+MONTH($A12)-1))*((($C4="(Все)")+('Парк (SAP)'!$B$11:$B$346=$C4)&gt;0))*((($G4="(Все)")+('Парк (SAP)'!$C$11:$C$346=$G4)&gt;0)))</f>
        <v>0</v>
      </c>
      <c r="E12" s="32">
        <f>SUMPRODUCT(((YEAR('Парк (SAP)'!$H$11:$H$346)*12+MONTH('Парк (SAP)'!$H$11:$H$346)-1)&lt;=(YEAR($A12)*12+MONTH($A12)-1))*((($C4="(Все)")+('Парк (SAP)'!$B$11:$B$346=$C4)&gt;0))*((($G4="(Все)")+('Парк (SAP)'!$C$11:$C$346=$G4)&gt;0)))</f>
        <v>40</v>
      </c>
      <c r="F12" s="32">
        <f>SUMPRODUCT((((YEAR('Парк (SAP)'!$H$11:$H$346)*12+MONTH('Парк (SAP)'!$H$11:$H$346)-1)+$C5)&lt;=(YEAR($A12)*12+MONTH($A12)-1))*((($C4="(Все)")+('Парк (SAP)'!$B$11:$B$346=$C4)&gt;0))*((($G4="(Все)")+('Парк (SAP)'!$C$11:$C$346=$G4)&gt;0)))</f>
        <v>0</v>
      </c>
    </row>
    <row r="13">
      <c r="A13" s="43" t="n">
        <v>45444</v>
      </c>
      <c r="B13" s="32">
        <f>SUMPRODUCT(((YEAR('Парк (SAP)'!$H$11:$H$346)*12+MONTH('Парк (SAP)'!$H$11:$H$346)-1)=(YEAR($A13)*12+MONTH($A13)-1))*((($C4="(Все)")+('Парк (SAP)'!$B$11:$B$346=$C4)&gt;0))*((($G4="(Все)")+('Парк (SAP)'!$C$11:$C$346=$G4)&gt;0)))</f>
        <v>5</v>
      </c>
      <c r="C13" s="32">
        <f>E13-F12</f>
        <v>45</v>
      </c>
      <c r="D13" s="32">
        <f>SUMPRODUCT((((YEAR('Парк (SAP)'!$H$11:$H$346)*12+MONTH('Парк (SAP)'!$H$11:$H$346)-1)+$C5)=(YEAR($A13)*12+MONTH($A13)-1))*((($C4="(Все)")+('Парк (SAP)'!$B$11:$B$346=$C4)&gt;0))*((($G4="(Все)")+('Парк (SAP)'!$C$11:$C$346=$G4)&gt;0)))</f>
        <v>0</v>
      </c>
      <c r="E13" s="32">
        <f>SUMPRODUCT(((YEAR('Парк (SAP)'!$H$11:$H$346)*12+MONTH('Парк (SAP)'!$H$11:$H$346)-1)&lt;=(YEAR($A13)*12+MONTH($A13)-1))*((($C4="(Все)")+('Парк (SAP)'!$B$11:$B$346=$C4)&gt;0))*((($G4="(Все)")+('Парк (SAP)'!$C$11:$C$346=$G4)&gt;0)))</f>
        <v>45</v>
      </c>
      <c r="F13" s="32">
        <f>SUMPRODUCT((((YEAR('Парк (SAP)'!$H$11:$H$346)*12+MONTH('Парк (SAP)'!$H$11:$H$346)-1)+$C5)&lt;=(YEAR($A13)*12+MONTH($A13)-1))*((($C4="(Все)")+('Парк (SAP)'!$B$11:$B$346=$C4)&gt;0))*((($G4="(Все)")+('Парк (SAP)'!$C$11:$C$346=$G4)&gt;0)))</f>
        <v>0</v>
      </c>
    </row>
    <row r="14">
      <c r="A14" s="43" t="n">
        <v>45474</v>
      </c>
      <c r="B14" s="32">
        <f>SUMPRODUCT(((YEAR('Парк (SAP)'!$H$11:$H$346)*12+MONTH('Парк (SAP)'!$H$11:$H$346)-1)=(YEAR($A14)*12+MONTH($A14)-1))*((($C4="(Все)")+('Парк (SAP)'!$B$11:$B$346=$C4)&gt;0))*((($G4="(Все)")+('Парк (SAP)'!$C$11:$C$346=$G4)&gt;0)))</f>
        <v>9</v>
      </c>
      <c r="C14" s="32">
        <f>E14-F13</f>
        <v>54</v>
      </c>
      <c r="D14" s="32">
        <f>SUMPRODUCT((((YEAR('Парк (SAP)'!$H$11:$H$346)*12+MONTH('Парк (SAP)'!$H$11:$H$346)-1)+$C5)=(YEAR($A14)*12+MONTH($A14)-1))*((($C4="(Все)")+('Парк (SAP)'!$B$11:$B$346=$C4)&gt;0))*((($G4="(Все)")+('Парк (SAP)'!$C$11:$C$346=$G4)&gt;0)))</f>
        <v>0</v>
      </c>
      <c r="E14" s="32">
        <f>SUMPRODUCT(((YEAR('Парк (SAP)'!$H$11:$H$346)*12+MONTH('Парк (SAP)'!$H$11:$H$346)-1)&lt;=(YEAR($A14)*12+MONTH($A14)-1))*((($C4="(Все)")+('Парк (SAP)'!$B$11:$B$346=$C4)&gt;0))*((($G4="(Все)")+('Парк (SAP)'!$C$11:$C$346=$G4)&gt;0)))</f>
        <v>54</v>
      </c>
      <c r="F14" s="32">
        <f>SUMPRODUCT((((YEAR('Парк (SAP)'!$H$11:$H$346)*12+MONTH('Парк (SAP)'!$H$11:$H$346)-1)+$C5)&lt;=(YEAR($A14)*12+MONTH($A14)-1))*((($C4="(Все)")+('Парк (SAP)'!$B$11:$B$346=$C4)&gt;0))*((($G4="(Все)")+('Парк (SAP)'!$C$11:$C$346=$G4)&gt;0)))</f>
        <v>0</v>
      </c>
    </row>
    <row r="15">
      <c r="A15" s="43" t="n">
        <v>45505</v>
      </c>
      <c r="B15" s="32">
        <f>SUMPRODUCT(((YEAR('Парк (SAP)'!$H$11:$H$346)*12+MONTH('Парк (SAP)'!$H$11:$H$346)-1)=(YEAR($A15)*12+MONTH($A15)-1))*((($C4="(Все)")+('Парк (SAP)'!$B$11:$B$346=$C4)&gt;0))*((($G4="(Все)")+('Парк (SAP)'!$C$11:$C$346=$G4)&gt;0)))</f>
        <v>2</v>
      </c>
      <c r="C15" s="32">
        <f>E15-F14</f>
        <v>56</v>
      </c>
      <c r="D15" s="32">
        <f>SUMPRODUCT((((YEAR('Парк (SAP)'!$H$11:$H$346)*12+MONTH('Парк (SAP)'!$H$11:$H$346)-1)+$C5)=(YEAR($A15)*12+MONTH($A15)-1))*((($C4="(Все)")+('Парк (SAP)'!$B$11:$B$346=$C4)&gt;0))*((($G4="(Все)")+('Парк (SAP)'!$C$11:$C$346=$G4)&gt;0)))</f>
        <v>0</v>
      </c>
      <c r="E15" s="32">
        <f>SUMPRODUCT(((YEAR('Парк (SAP)'!$H$11:$H$346)*12+MONTH('Парк (SAP)'!$H$11:$H$346)-1)&lt;=(YEAR($A15)*12+MONTH($A15)-1))*((($C4="(Все)")+('Парк (SAP)'!$B$11:$B$346=$C4)&gt;0))*((($G4="(Все)")+('Парк (SAP)'!$C$11:$C$346=$G4)&gt;0)))</f>
        <v>56</v>
      </c>
      <c r="F15" s="32">
        <f>SUMPRODUCT((((YEAR('Парк (SAP)'!$H$11:$H$346)*12+MONTH('Парк (SAP)'!$H$11:$H$346)-1)+$C5)&lt;=(YEAR($A15)*12+MONTH($A15)-1))*((($C4="(Все)")+('Парк (SAP)'!$B$11:$B$346=$C4)&gt;0))*((($G4="(Все)")+('Парк (SAP)'!$C$11:$C$346=$G4)&gt;0)))</f>
        <v>0</v>
      </c>
    </row>
    <row r="16">
      <c r="A16" s="43" t="n">
        <v>45536</v>
      </c>
      <c r="B16" s="32">
        <f>SUMPRODUCT(((YEAR('Парк (SAP)'!$H$11:$H$346)*12+MONTH('Парк (SAP)'!$H$11:$H$346)-1)=(YEAR($A16)*12+MONTH($A16)-1))*((($C4="(Все)")+('Парк (SAP)'!$B$11:$B$346=$C4)&gt;0))*((($G4="(Все)")+('Парк (SAP)'!$C$11:$C$346=$G4)&gt;0)))</f>
        <v>4</v>
      </c>
      <c r="C16" s="32">
        <f>E16-F15</f>
        <v>60</v>
      </c>
      <c r="D16" s="32">
        <f>SUMPRODUCT((((YEAR('Парк (SAP)'!$H$11:$H$346)*12+MONTH('Парк (SAP)'!$H$11:$H$346)-1)+$C5)=(YEAR($A16)*12+MONTH($A16)-1))*((($C4="(Все)")+('Парк (SAP)'!$B$11:$B$346=$C4)&gt;0))*((($G4="(Все)")+('Парк (SAP)'!$C$11:$C$346=$G4)&gt;0)))</f>
        <v>0</v>
      </c>
      <c r="E16" s="32">
        <f>SUMPRODUCT(((YEAR('Парк (SAP)'!$H$11:$H$346)*12+MONTH('Парк (SAP)'!$H$11:$H$346)-1)&lt;=(YEAR($A16)*12+MONTH($A16)-1))*((($C4="(Все)")+('Парк (SAP)'!$B$11:$B$346=$C4)&gt;0))*((($G4="(Все)")+('Парк (SAP)'!$C$11:$C$346=$G4)&gt;0)))</f>
        <v>60</v>
      </c>
      <c r="F16" s="32">
        <f>SUMPRODUCT((((YEAR('Парк (SAP)'!$H$11:$H$346)*12+MONTH('Парк (SAP)'!$H$11:$H$346)-1)+$C5)&lt;=(YEAR($A16)*12+MONTH($A16)-1))*((($C4="(Все)")+('Парк (SAP)'!$B$11:$B$346=$C4)&gt;0))*((($G4="(Все)")+('Парк (SAP)'!$C$11:$C$346=$G4)&gt;0)))</f>
        <v>0</v>
      </c>
    </row>
    <row r="17">
      <c r="A17" s="43" t="n">
        <v>45566</v>
      </c>
      <c r="B17" s="32">
        <f>SUMPRODUCT(((YEAR('Парк (SAP)'!$H$11:$H$346)*12+MONTH('Парк (SAP)'!$H$11:$H$346)-1)=(YEAR($A17)*12+MONTH($A17)-1))*((($C4="(Все)")+('Парк (SAP)'!$B$11:$B$346=$C4)&gt;0))*((($G4="(Все)")+('Парк (SAP)'!$C$11:$C$346=$G4)&gt;0)))</f>
        <v>2</v>
      </c>
      <c r="C17" s="32">
        <f>E17-F16</f>
        <v>62</v>
      </c>
      <c r="D17" s="32">
        <f>SUMPRODUCT((((YEAR('Парк (SAP)'!$H$11:$H$346)*12+MONTH('Парк (SAP)'!$H$11:$H$346)-1)+$C5)=(YEAR($A17)*12+MONTH($A17)-1))*((($C4="(Все)")+('Парк (SAP)'!$B$11:$B$346=$C4)&gt;0))*((($G4="(Все)")+('Парк (SAP)'!$C$11:$C$346=$G4)&gt;0)))</f>
        <v>0</v>
      </c>
      <c r="E17" s="32">
        <f>SUMPRODUCT(((YEAR('Парк (SAP)'!$H$11:$H$346)*12+MONTH('Парк (SAP)'!$H$11:$H$346)-1)&lt;=(YEAR($A17)*12+MONTH($A17)-1))*((($C4="(Все)")+('Парк (SAP)'!$B$11:$B$346=$C4)&gt;0))*((($G4="(Все)")+('Парк (SAP)'!$C$11:$C$346=$G4)&gt;0)))</f>
        <v>62</v>
      </c>
      <c r="F17" s="32">
        <f>SUMPRODUCT((((YEAR('Парк (SAP)'!$H$11:$H$346)*12+MONTH('Парк (SAP)'!$H$11:$H$346)-1)+$C5)&lt;=(YEAR($A17)*12+MONTH($A17)-1))*((($C4="(Все)")+('Парк (SAP)'!$B$11:$B$346=$C4)&gt;0))*((($G4="(Все)")+('Парк (SAP)'!$C$11:$C$346=$G4)&gt;0)))</f>
        <v>0</v>
      </c>
    </row>
    <row r="18">
      <c r="A18" s="43" t="n">
        <v>45597</v>
      </c>
      <c r="B18" s="32">
        <f>SUMPRODUCT(((YEAR('Парк (SAP)'!$H$11:$H$346)*12+MONTH('Парк (SAP)'!$H$11:$H$346)-1)=(YEAR($A18)*12+MONTH($A18)-1))*((($C4="(Все)")+('Парк (SAP)'!$B$11:$B$346=$C4)&gt;0))*((($G4="(Все)")+('Парк (SAP)'!$C$11:$C$346=$G4)&gt;0)))</f>
        <v>0</v>
      </c>
      <c r="C18" s="32">
        <f>E18-F17</f>
        <v>62</v>
      </c>
      <c r="D18" s="32">
        <f>SUMPRODUCT((((YEAR('Парк (SAP)'!$H$11:$H$346)*12+MONTH('Парк (SAP)'!$H$11:$H$346)-1)+$C5)=(YEAR($A18)*12+MONTH($A18)-1))*((($C4="(Все)")+('Парк (SAP)'!$B$11:$B$346=$C4)&gt;0))*((($G4="(Все)")+('Парк (SAP)'!$C$11:$C$346=$G4)&gt;0)))</f>
        <v>0</v>
      </c>
      <c r="E18" s="32">
        <f>SUMPRODUCT(((YEAR('Парк (SAP)'!$H$11:$H$346)*12+MONTH('Парк (SAP)'!$H$11:$H$346)-1)&lt;=(YEAR($A18)*12+MONTH($A18)-1))*((($C4="(Все)")+('Парк (SAP)'!$B$11:$B$346=$C4)&gt;0))*((($G4="(Все)")+('Парк (SAP)'!$C$11:$C$346=$G4)&gt;0)))</f>
        <v>62</v>
      </c>
      <c r="F18" s="32">
        <f>SUMPRODUCT((((YEAR('Парк (SAP)'!$H$11:$H$346)*12+MONTH('Парк (SAP)'!$H$11:$H$346)-1)+$C5)&lt;=(YEAR($A18)*12+MONTH($A18)-1))*((($C4="(Все)")+('Парк (SAP)'!$B$11:$B$346=$C4)&gt;0))*((($G4="(Все)")+('Парк (SAP)'!$C$11:$C$346=$G4)&gt;0)))</f>
        <v>0</v>
      </c>
    </row>
    <row r="19">
      <c r="A19" s="43" t="n">
        <v>45627</v>
      </c>
      <c r="B19" s="32">
        <f>SUMPRODUCT(((YEAR('Парк (SAP)'!$H$11:$H$346)*12+MONTH('Парк (SAP)'!$H$11:$H$346)-1)=(YEAR($A19)*12+MONTH($A19)-1))*((($C4="(Все)")+('Парк (SAP)'!$B$11:$B$346=$C4)&gt;0))*((($G4="(Все)")+('Парк (SAP)'!$C$11:$C$346=$G4)&gt;0)))</f>
        <v>6</v>
      </c>
      <c r="C19" s="32">
        <f>E19-F18</f>
        <v>68</v>
      </c>
      <c r="D19" s="32">
        <f>SUMPRODUCT((((YEAR('Парк (SAP)'!$H$11:$H$346)*12+MONTH('Парк (SAP)'!$H$11:$H$346)-1)+$C5)=(YEAR($A19)*12+MONTH($A19)-1))*((($C4="(Все)")+('Парк (SAP)'!$B$11:$B$346=$C4)&gt;0))*((($G4="(Все)")+('Парк (SAP)'!$C$11:$C$346=$G4)&gt;0)))</f>
        <v>0</v>
      </c>
      <c r="E19" s="32">
        <f>SUMPRODUCT(((YEAR('Парк (SAP)'!$H$11:$H$346)*12+MONTH('Парк (SAP)'!$H$11:$H$346)-1)&lt;=(YEAR($A19)*12+MONTH($A19)-1))*((($C4="(Все)")+('Парк (SAP)'!$B$11:$B$346=$C4)&gt;0))*((($G4="(Все)")+('Парк (SAP)'!$C$11:$C$346=$G4)&gt;0)))</f>
        <v>68</v>
      </c>
      <c r="F19" s="32">
        <f>SUMPRODUCT((((YEAR('Парк (SAP)'!$H$11:$H$346)*12+MONTH('Парк (SAP)'!$H$11:$H$346)-1)+$C5)&lt;=(YEAR($A19)*12+MONTH($A19)-1))*((($C4="(Все)")+('Парк (SAP)'!$B$11:$B$346=$C4)&gt;0))*((($G4="(Все)")+('Парк (SAP)'!$C$11:$C$346=$G4)&gt;0)))</f>
        <v>0</v>
      </c>
    </row>
    <row r="20">
      <c r="A20" s="43" t="n">
        <v>45658</v>
      </c>
      <c r="B20" s="32">
        <f>SUMPRODUCT(((YEAR('Парк (SAP)'!$H$11:$H$346)*12+MONTH('Парк (SAP)'!$H$11:$H$346)-1)=(YEAR($A20)*12+MONTH($A20)-1))*((($C4="(Все)")+('Парк (SAP)'!$B$11:$B$346=$C4)&gt;0))*((($G4="(Все)")+('Парк (SAP)'!$C$11:$C$346=$G4)&gt;0)))</f>
        <v>10</v>
      </c>
      <c r="C20" s="32">
        <f>E20-F19</f>
        <v>78</v>
      </c>
      <c r="D20" s="32">
        <f>SUMPRODUCT((((YEAR('Парк (SAP)'!$H$11:$H$346)*12+MONTH('Парк (SAP)'!$H$11:$H$346)-1)+$C5)=(YEAR($A20)*12+MONTH($A20)-1))*((($C4="(Все)")+('Парк (SAP)'!$B$11:$B$346=$C4)&gt;0))*((($G4="(Все)")+('Парк (SAP)'!$C$11:$C$346=$G4)&gt;0)))</f>
        <v>0</v>
      </c>
      <c r="E20" s="32">
        <f>SUMPRODUCT(((YEAR('Парк (SAP)'!$H$11:$H$346)*12+MONTH('Парк (SAP)'!$H$11:$H$346)-1)&lt;=(YEAR($A20)*12+MONTH($A20)-1))*((($C4="(Все)")+('Парк (SAP)'!$B$11:$B$346=$C4)&gt;0))*((($G4="(Все)")+('Парк (SAP)'!$C$11:$C$346=$G4)&gt;0)))</f>
        <v>78</v>
      </c>
      <c r="F20" s="32">
        <f>SUMPRODUCT((((YEAR('Парк (SAP)'!$H$11:$H$346)*12+MONTH('Парк (SAP)'!$H$11:$H$346)-1)+$C5)&lt;=(YEAR($A20)*12+MONTH($A20)-1))*((($C4="(Все)")+('Парк (SAP)'!$B$11:$B$346=$C4)&gt;0))*((($G4="(Все)")+('Парк (SAP)'!$C$11:$C$346=$G4)&gt;0)))</f>
        <v>0</v>
      </c>
    </row>
    <row r="21">
      <c r="A21" s="43" t="n">
        <v>45689</v>
      </c>
      <c r="B21" s="32">
        <f>SUMPRODUCT(((YEAR('Парк (SAP)'!$H$11:$H$346)*12+MONTH('Парк (SAP)'!$H$11:$H$346)-1)=(YEAR($A21)*12+MONTH($A21)-1))*((($C4="(Все)")+('Парк (SAP)'!$B$11:$B$346=$C4)&gt;0))*((($G4="(Все)")+('Парк (SAP)'!$C$11:$C$346=$G4)&gt;0)))</f>
        <v>9</v>
      </c>
      <c r="C21" s="32">
        <f>E21-F20</f>
        <v>87</v>
      </c>
      <c r="D21" s="32">
        <f>SUMPRODUCT((((YEAR('Парк (SAP)'!$H$11:$H$346)*12+MONTH('Парк (SAP)'!$H$11:$H$346)-1)+$C5)=(YEAR($A21)*12+MONTH($A21)-1))*((($C4="(Все)")+('Парк (SAP)'!$B$11:$B$346=$C4)&gt;0))*((($G4="(Все)")+('Парк (SAP)'!$C$11:$C$346=$G4)&gt;0)))</f>
        <v>0</v>
      </c>
      <c r="E21" s="32">
        <f>SUMPRODUCT(((YEAR('Парк (SAP)'!$H$11:$H$346)*12+MONTH('Парк (SAP)'!$H$11:$H$346)-1)&lt;=(YEAR($A21)*12+MONTH($A21)-1))*((($C4="(Все)")+('Парк (SAP)'!$B$11:$B$346=$C4)&gt;0))*((($G4="(Все)")+('Парк (SAP)'!$C$11:$C$346=$G4)&gt;0)))</f>
        <v>87</v>
      </c>
      <c r="F21" s="32">
        <f>SUMPRODUCT((((YEAR('Парк (SAP)'!$H$11:$H$346)*12+MONTH('Парк (SAP)'!$H$11:$H$346)-1)+$C5)&lt;=(YEAR($A21)*12+MONTH($A21)-1))*((($C4="(Все)")+('Парк (SAP)'!$B$11:$B$346=$C4)&gt;0))*((($G4="(Все)")+('Парк (SAP)'!$C$11:$C$346=$G4)&gt;0)))</f>
        <v>0</v>
      </c>
    </row>
    <row r="22">
      <c r="A22" s="43" t="n">
        <v>45717</v>
      </c>
      <c r="B22" s="32">
        <f>SUMPRODUCT(((YEAR('Парк (SAP)'!$H$11:$H$346)*12+MONTH('Парк (SAP)'!$H$11:$H$346)-1)=(YEAR($A22)*12+MONTH($A22)-1))*((($C4="(Все)")+('Парк (SAP)'!$B$11:$B$346=$C4)&gt;0))*((($G4="(Все)")+('Парк (SAP)'!$C$11:$C$346=$G4)&gt;0)))</f>
        <v>13</v>
      </c>
      <c r="C22" s="32">
        <f>E22-F21</f>
        <v>100</v>
      </c>
      <c r="D22" s="32">
        <f>SUMPRODUCT((((YEAR('Парк (SAP)'!$H$11:$H$346)*12+MONTH('Парк (SAP)'!$H$11:$H$346)-1)+$C5)=(YEAR($A22)*12+MONTH($A22)-1))*((($C4="(Все)")+('Парк (SAP)'!$B$11:$B$346=$C4)&gt;0))*((($G4="(Все)")+('Парк (SAP)'!$C$11:$C$346=$G4)&gt;0)))</f>
        <v>0</v>
      </c>
      <c r="E22" s="32">
        <f>SUMPRODUCT(((YEAR('Парк (SAP)'!$H$11:$H$346)*12+MONTH('Парк (SAP)'!$H$11:$H$346)-1)&lt;=(YEAR($A22)*12+MONTH($A22)-1))*((($C4="(Все)")+('Парк (SAP)'!$B$11:$B$346=$C4)&gt;0))*((($G4="(Все)")+('Парк (SAP)'!$C$11:$C$346=$G4)&gt;0)))</f>
        <v>100</v>
      </c>
      <c r="F22" s="32">
        <f>SUMPRODUCT((((YEAR('Парк (SAP)'!$H$11:$H$346)*12+MONTH('Парк (SAP)'!$H$11:$H$346)-1)+$C5)&lt;=(YEAR($A22)*12+MONTH($A22)-1))*((($C4="(Все)")+('Парк (SAP)'!$B$11:$B$346=$C4)&gt;0))*((($G4="(Все)")+('Парк (SAP)'!$C$11:$C$346=$G4)&gt;0)))</f>
        <v>0</v>
      </c>
    </row>
    <row r="23">
      <c r="A23" s="43" t="n">
        <v>45748</v>
      </c>
      <c r="B23" s="32">
        <f>SUMPRODUCT(((YEAR('Парк (SAP)'!$H$11:$H$346)*12+MONTH('Парк (SAP)'!$H$11:$H$346)-1)=(YEAR($A23)*12+MONTH($A23)-1))*((($C4="(Все)")+('Парк (SAP)'!$B$11:$B$346=$C4)&gt;0))*((($G4="(Все)")+('Парк (SAP)'!$C$11:$C$346=$G4)&gt;0)))</f>
        <v>7</v>
      </c>
      <c r="C23" s="32">
        <f>E23-F22</f>
        <v>107</v>
      </c>
      <c r="D23" s="32">
        <f>SUMPRODUCT((((YEAR('Парк (SAP)'!$H$11:$H$346)*12+MONTH('Парк (SAP)'!$H$11:$H$346)-1)+$C5)=(YEAR($A23)*12+MONTH($A23)-1))*((($C4="(Все)")+('Парк (SAP)'!$B$11:$B$346=$C4)&gt;0))*((($G4="(Все)")+('Парк (SAP)'!$C$11:$C$346=$G4)&gt;0)))</f>
        <v>0</v>
      </c>
      <c r="E23" s="32">
        <f>SUMPRODUCT(((YEAR('Парк (SAP)'!$H$11:$H$346)*12+MONTH('Парк (SAP)'!$H$11:$H$346)-1)&lt;=(YEAR($A23)*12+MONTH($A23)-1))*((($C4="(Все)")+('Парк (SAP)'!$B$11:$B$346=$C4)&gt;0))*((($G4="(Все)")+('Парк (SAP)'!$C$11:$C$346=$G4)&gt;0)))</f>
        <v>107</v>
      </c>
      <c r="F23" s="32">
        <f>SUMPRODUCT((((YEAR('Парк (SAP)'!$H$11:$H$346)*12+MONTH('Парк (SAP)'!$H$11:$H$346)-1)+$C5)&lt;=(YEAR($A23)*12+MONTH($A23)-1))*((($C4="(Все)")+('Парк (SAP)'!$B$11:$B$346=$C4)&gt;0))*((($G4="(Все)")+('Парк (SAP)'!$C$11:$C$346=$G4)&gt;0)))</f>
        <v>0</v>
      </c>
    </row>
    <row r="24">
      <c r="A24" s="43" t="n">
        <v>45778</v>
      </c>
      <c r="B24" s="32">
        <f>SUMPRODUCT(((YEAR('Парк (SAP)'!$H$11:$H$346)*12+MONTH('Парк (SAP)'!$H$11:$H$346)-1)=(YEAR($A24)*12+MONTH($A24)-1))*((($C4="(Все)")+('Парк (SAP)'!$B$11:$B$346=$C4)&gt;0))*((($G4="(Все)")+('Парк (SAP)'!$C$11:$C$346=$G4)&gt;0)))</f>
        <v>4</v>
      </c>
      <c r="C24" s="32">
        <f>E24-F23</f>
        <v>111</v>
      </c>
      <c r="D24" s="32">
        <f>SUMPRODUCT((((YEAR('Парк (SAP)'!$H$11:$H$346)*12+MONTH('Парк (SAP)'!$H$11:$H$346)-1)+$C5)=(YEAR($A24)*12+MONTH($A24)-1))*((($C4="(Все)")+('Парк (SAP)'!$B$11:$B$346=$C4)&gt;0))*((($G4="(Все)")+('Парк (SAP)'!$C$11:$C$346=$G4)&gt;0)))</f>
        <v>0</v>
      </c>
      <c r="E24" s="32">
        <f>SUMPRODUCT(((YEAR('Парк (SAP)'!$H$11:$H$346)*12+MONTH('Парк (SAP)'!$H$11:$H$346)-1)&lt;=(YEAR($A24)*12+MONTH($A24)-1))*((($C4="(Все)")+('Парк (SAP)'!$B$11:$B$346=$C4)&gt;0))*((($G4="(Все)")+('Парк (SAP)'!$C$11:$C$346=$G4)&gt;0)))</f>
        <v>111</v>
      </c>
      <c r="F24" s="32">
        <f>SUMPRODUCT((((YEAR('Парк (SAP)'!$H$11:$H$346)*12+MONTH('Парк (SAP)'!$H$11:$H$346)-1)+$C5)&lt;=(YEAR($A24)*12+MONTH($A24)-1))*((($C4="(Все)")+('Парк (SAP)'!$B$11:$B$346=$C4)&gt;0))*((($G4="(Все)")+('Парк (SAP)'!$C$11:$C$346=$G4)&gt;0)))</f>
        <v>0</v>
      </c>
    </row>
    <row r="25">
      <c r="A25" s="43" t="n">
        <v>45809</v>
      </c>
      <c r="B25" s="32">
        <f>SUMPRODUCT(((YEAR('Парк (SAP)'!$H$11:$H$346)*12+MONTH('Парк (SAP)'!$H$11:$H$346)-1)=(YEAR($A25)*12+MONTH($A25)-1))*((($C4="(Все)")+('Парк (SAP)'!$B$11:$B$346=$C4)&gt;0))*((($G4="(Все)")+('Парк (SAP)'!$C$11:$C$346=$G4)&gt;0)))</f>
        <v>4</v>
      </c>
      <c r="C25" s="32">
        <f>E25-F24</f>
        <v>115</v>
      </c>
      <c r="D25" s="32">
        <f>SUMPRODUCT((((YEAR('Парк (SAP)'!$H$11:$H$346)*12+MONTH('Парк (SAP)'!$H$11:$H$346)-1)+$C5)=(YEAR($A25)*12+MONTH($A25)-1))*((($C4="(Все)")+('Парк (SAP)'!$B$11:$B$346=$C4)&gt;0))*((($G4="(Все)")+('Парк (SAP)'!$C$11:$C$346=$G4)&gt;0)))</f>
        <v>0</v>
      </c>
      <c r="E25" s="32">
        <f>SUMPRODUCT(((YEAR('Парк (SAP)'!$H$11:$H$346)*12+MONTH('Парк (SAP)'!$H$11:$H$346)-1)&lt;=(YEAR($A25)*12+MONTH($A25)-1))*((($C4="(Все)")+('Парк (SAP)'!$B$11:$B$346=$C4)&gt;0))*((($G4="(Все)")+('Парк (SAP)'!$C$11:$C$346=$G4)&gt;0)))</f>
        <v>115</v>
      </c>
      <c r="F25" s="32">
        <f>SUMPRODUCT((((YEAR('Парк (SAP)'!$H$11:$H$346)*12+MONTH('Парк (SAP)'!$H$11:$H$346)-1)+$C5)&lt;=(YEAR($A25)*12+MONTH($A25)-1))*((($C4="(Все)")+('Парк (SAP)'!$B$11:$B$346=$C4)&gt;0))*((($G4="(Все)")+('Парк (SAP)'!$C$11:$C$346=$G4)&gt;0)))</f>
        <v>0</v>
      </c>
    </row>
    <row r="26">
      <c r="A26" s="43" t="n">
        <v>45839</v>
      </c>
      <c r="B26" s="32">
        <f>SUMPRODUCT(((YEAR('Парк (SAP)'!$H$11:$H$346)*12+MONTH('Парк (SAP)'!$H$11:$H$346)-1)=(YEAR($A26)*12+MONTH($A26)-1))*((($C4="(Все)")+('Парк (SAP)'!$B$11:$B$346=$C4)&gt;0))*((($G4="(Все)")+('Парк (SAP)'!$C$11:$C$346=$G4)&gt;0)))</f>
        <v>7</v>
      </c>
      <c r="C26" s="32">
        <f>E26-F25</f>
        <v>122</v>
      </c>
      <c r="D26" s="32">
        <f>SUMPRODUCT((((YEAR('Парк (SAP)'!$H$11:$H$346)*12+MONTH('Парк (SAP)'!$H$11:$H$346)-1)+$C5)=(YEAR($A26)*12+MONTH($A26)-1))*((($C4="(Все)")+('Парк (SAP)'!$B$11:$B$346=$C4)&gt;0))*((($G4="(Все)")+('Парк (SAP)'!$C$11:$C$346=$G4)&gt;0)))</f>
        <v>0</v>
      </c>
      <c r="E26" s="32">
        <f>SUMPRODUCT(((YEAR('Парк (SAP)'!$H$11:$H$346)*12+MONTH('Парк (SAP)'!$H$11:$H$346)-1)&lt;=(YEAR($A26)*12+MONTH($A26)-1))*((($C4="(Все)")+('Парк (SAP)'!$B$11:$B$346=$C4)&gt;0))*((($G4="(Все)")+('Парк (SAP)'!$C$11:$C$346=$G4)&gt;0)))</f>
        <v>122</v>
      </c>
      <c r="F26" s="32">
        <f>SUMPRODUCT((((YEAR('Парк (SAP)'!$H$11:$H$346)*12+MONTH('Парк (SAP)'!$H$11:$H$346)-1)+$C5)&lt;=(YEAR($A26)*12+MONTH($A26)-1))*((($C4="(Все)")+('Парк (SAP)'!$B$11:$B$346=$C4)&gt;0))*((($G4="(Все)")+('Парк (SAP)'!$C$11:$C$346=$G4)&gt;0)))</f>
        <v>0</v>
      </c>
    </row>
    <row r="27">
      <c r="A27" s="43" t="n">
        <v>45870</v>
      </c>
      <c r="B27" s="32">
        <f>SUMPRODUCT(((YEAR('Парк (SAP)'!$H$11:$H$346)*12+MONTH('Парк (SAP)'!$H$11:$H$346)-1)=(YEAR($A27)*12+MONTH($A27)-1))*((($C4="(Все)")+('Парк (SAP)'!$B$11:$B$346=$C4)&gt;0))*((($G4="(Все)")+('Парк (SAP)'!$C$11:$C$346=$G4)&gt;0)))</f>
        <v>5</v>
      </c>
      <c r="C27" s="32">
        <f>E27-F26</f>
        <v>127</v>
      </c>
      <c r="D27" s="32">
        <f>SUMPRODUCT((((YEAR('Парк (SAP)'!$H$11:$H$346)*12+MONTH('Парк (SAP)'!$H$11:$H$346)-1)+$C5)=(YEAR($A27)*12+MONTH($A27)-1))*((($C4="(Все)")+('Парк (SAP)'!$B$11:$B$346=$C4)&gt;0))*((($G4="(Все)")+('Парк (SAP)'!$C$11:$C$346=$G4)&gt;0)))</f>
        <v>0</v>
      </c>
      <c r="E27" s="32">
        <f>SUMPRODUCT(((YEAR('Парк (SAP)'!$H$11:$H$346)*12+MONTH('Парк (SAP)'!$H$11:$H$346)-1)&lt;=(YEAR($A27)*12+MONTH($A27)-1))*((($C4="(Все)")+('Парк (SAP)'!$B$11:$B$346=$C4)&gt;0))*((($G4="(Все)")+('Парк (SAP)'!$C$11:$C$346=$G4)&gt;0)))</f>
        <v>127</v>
      </c>
      <c r="F27" s="32">
        <f>SUMPRODUCT((((YEAR('Парк (SAP)'!$H$11:$H$346)*12+MONTH('Парк (SAP)'!$H$11:$H$346)-1)+$C5)&lt;=(YEAR($A27)*12+MONTH($A27)-1))*((($C4="(Все)")+('Парк (SAP)'!$B$11:$B$346=$C4)&gt;0))*((($G4="(Все)")+('Парк (SAP)'!$C$11:$C$346=$G4)&gt;0)))</f>
        <v>0</v>
      </c>
    </row>
    <row r="28">
      <c r="A28" s="43" t="n">
        <v>45901</v>
      </c>
      <c r="B28" s="32">
        <f>SUMPRODUCT(((YEAR('Парк (SAP)'!$H$11:$H$346)*12+MONTH('Парк (SAP)'!$H$11:$H$346)-1)=(YEAR($A28)*12+MONTH($A28)-1))*((($C4="(Все)")+('Парк (SAP)'!$B$11:$B$346=$C4)&gt;0))*((($G4="(Все)")+('Парк (SAP)'!$C$11:$C$346=$G4)&gt;0)))</f>
        <v>9</v>
      </c>
      <c r="C28" s="32">
        <f>E28-F27</f>
        <v>136</v>
      </c>
      <c r="D28" s="32">
        <f>SUMPRODUCT((((YEAR('Парк (SAP)'!$H$11:$H$346)*12+MONTH('Парк (SAP)'!$H$11:$H$346)-1)+$C5)=(YEAR($A28)*12+MONTH($A28)-1))*((($C4="(Все)")+('Парк (SAP)'!$B$11:$B$346=$C4)&gt;0))*((($G4="(Все)")+('Парк (SAP)'!$C$11:$C$346=$G4)&gt;0)))</f>
        <v>0</v>
      </c>
      <c r="E28" s="32">
        <f>SUMPRODUCT(((YEAR('Парк (SAP)'!$H$11:$H$346)*12+MONTH('Парк (SAP)'!$H$11:$H$346)-1)&lt;=(YEAR($A28)*12+MONTH($A28)-1))*((($C4="(Все)")+('Парк (SAP)'!$B$11:$B$346=$C4)&gt;0))*((($G4="(Все)")+('Парк (SAP)'!$C$11:$C$346=$G4)&gt;0)))</f>
        <v>136</v>
      </c>
      <c r="F28" s="32">
        <f>SUMPRODUCT((((YEAR('Парк (SAP)'!$H$11:$H$346)*12+MONTH('Парк (SAP)'!$H$11:$H$346)-1)+$C5)&lt;=(YEAR($A28)*12+MONTH($A28)-1))*((($C4="(Все)")+('Парк (SAP)'!$B$11:$B$346=$C4)&gt;0))*((($G4="(Все)")+('Парк (SAP)'!$C$11:$C$346=$G4)&gt;0)))</f>
        <v>0</v>
      </c>
    </row>
    <row r="29">
      <c r="A29" s="43" t="n">
        <v>45931</v>
      </c>
      <c r="B29" s="32">
        <f>SUMPRODUCT(((YEAR('Парк (SAP)'!$H$11:$H$346)*12+MONTH('Парк (SAP)'!$H$11:$H$346)-1)=(YEAR($A29)*12+MONTH($A29)-1))*((($C4="(Все)")+('Парк (SAP)'!$B$11:$B$346=$C4)&gt;0))*((($G4="(Все)")+('Парк (SAP)'!$C$11:$C$346=$G4)&gt;0)))</f>
        <v>8</v>
      </c>
      <c r="C29" s="32">
        <f>E29-F28</f>
        <v>144</v>
      </c>
      <c r="D29" s="32">
        <f>SUMPRODUCT((((YEAR('Парк (SAP)'!$H$11:$H$346)*12+MONTH('Парк (SAP)'!$H$11:$H$346)-1)+$C5)=(YEAR($A29)*12+MONTH($A29)-1))*((($C4="(Все)")+('Парк (SAP)'!$B$11:$B$346=$C4)&gt;0))*((($G4="(Все)")+('Парк (SAP)'!$C$11:$C$346=$G4)&gt;0)))</f>
        <v>0</v>
      </c>
      <c r="E29" s="32">
        <f>SUMPRODUCT(((YEAR('Парк (SAP)'!$H$11:$H$346)*12+MONTH('Парк (SAP)'!$H$11:$H$346)-1)&lt;=(YEAR($A29)*12+MONTH($A29)-1))*((($C4="(Все)")+('Парк (SAP)'!$B$11:$B$346=$C4)&gt;0))*((($G4="(Все)")+('Парк (SAP)'!$C$11:$C$346=$G4)&gt;0)))</f>
        <v>144</v>
      </c>
      <c r="F29" s="32">
        <f>SUMPRODUCT((((YEAR('Парк (SAP)'!$H$11:$H$346)*12+MONTH('Парк (SAP)'!$H$11:$H$346)-1)+$C5)&lt;=(YEAR($A29)*12+MONTH($A29)-1))*((($C4="(Все)")+('Парк (SAP)'!$B$11:$B$346=$C4)&gt;0))*((($G4="(Все)")+('Парк (SAP)'!$C$11:$C$346=$G4)&gt;0)))</f>
        <v>0</v>
      </c>
    </row>
    <row r="30">
      <c r="A30" s="43" t="n">
        <v>45962</v>
      </c>
      <c r="B30" s="32">
        <f>SUMPRODUCT(((YEAR('Парк (SAP)'!$H$11:$H$346)*12+MONTH('Парк (SAP)'!$H$11:$H$346)-1)=(YEAR($A30)*12+MONTH($A30)-1))*((($C4="(Все)")+('Парк (SAP)'!$B$11:$B$346=$C4)&gt;0))*((($G4="(Все)")+('Парк (SAP)'!$C$11:$C$346=$G4)&gt;0)))</f>
        <v>1</v>
      </c>
      <c r="C30" s="32">
        <f>E30-F29</f>
        <v>145</v>
      </c>
      <c r="D30" s="32">
        <f>SUMPRODUCT((((YEAR('Парк (SAP)'!$H$11:$H$346)*12+MONTH('Парк (SAP)'!$H$11:$H$346)-1)+$C5)=(YEAR($A30)*12+MONTH($A30)-1))*((($C4="(Все)")+('Парк (SAP)'!$B$11:$B$346=$C4)&gt;0))*((($G4="(Все)")+('Парк (SAP)'!$C$11:$C$346=$G4)&gt;0)))</f>
        <v>0</v>
      </c>
      <c r="E30" s="32">
        <f>SUMPRODUCT(((YEAR('Парк (SAP)'!$H$11:$H$346)*12+MONTH('Парк (SAP)'!$H$11:$H$346)-1)&lt;=(YEAR($A30)*12+MONTH($A30)-1))*((($C4="(Все)")+('Парк (SAP)'!$B$11:$B$346=$C4)&gt;0))*((($G4="(Все)")+('Парк (SAP)'!$C$11:$C$346=$G4)&gt;0)))</f>
        <v>145</v>
      </c>
      <c r="F30" s="32">
        <f>SUMPRODUCT((((YEAR('Парк (SAP)'!$H$11:$H$346)*12+MONTH('Парк (SAP)'!$H$11:$H$346)-1)+$C5)&lt;=(YEAR($A30)*12+MONTH($A30)-1))*((($C4="(Все)")+('Парк (SAP)'!$B$11:$B$346=$C4)&gt;0))*((($G4="(Все)")+('Парк (SAP)'!$C$11:$C$346=$G4)&gt;0)))</f>
        <v>0</v>
      </c>
    </row>
    <row r="31">
      <c r="A31" s="43" t="n">
        <v>45992</v>
      </c>
      <c r="B31" s="32">
        <f>SUMPRODUCT(((YEAR('Парк (SAP)'!$H$11:$H$346)*12+MONTH('Парк (SAP)'!$H$11:$H$346)-1)=(YEAR($A31)*12+MONTH($A31)-1))*((($C4="(Все)")+('Парк (SAP)'!$B$11:$B$346=$C4)&gt;0))*((($G4="(Все)")+('Парк (SAP)'!$C$11:$C$346=$G4)&gt;0)))</f>
        <v>7</v>
      </c>
      <c r="C31" s="32">
        <f>E31-F30</f>
        <v>152</v>
      </c>
      <c r="D31" s="32">
        <f>SUMPRODUCT((((YEAR('Парк (SAP)'!$H$11:$H$346)*12+MONTH('Парк (SAP)'!$H$11:$H$346)-1)+$C5)=(YEAR($A31)*12+MONTH($A31)-1))*((($C4="(Все)")+('Парк (SAP)'!$B$11:$B$346=$C4)&gt;0))*((($G4="(Все)")+('Парк (SAP)'!$C$11:$C$346=$G4)&gt;0)))</f>
        <v>0</v>
      </c>
      <c r="E31" s="32">
        <f>SUMPRODUCT(((YEAR('Парк (SAP)'!$H$11:$H$346)*12+MONTH('Парк (SAP)'!$H$11:$H$346)-1)&lt;=(YEAR($A31)*12+MONTH($A31)-1))*((($C4="(Все)")+('Парк (SAP)'!$B$11:$B$346=$C4)&gt;0))*((($G4="(Все)")+('Парк (SAP)'!$C$11:$C$346=$G4)&gt;0)))</f>
        <v>152</v>
      </c>
      <c r="F31" s="32">
        <f>SUMPRODUCT((((YEAR('Парк (SAP)'!$H$11:$H$346)*12+MONTH('Парк (SAP)'!$H$11:$H$346)-1)+$C5)&lt;=(YEAR($A31)*12+MONTH($A31)-1))*((($C4="(Все)")+('Парк (SAP)'!$B$11:$B$346=$C4)&gt;0))*((($G4="(Все)")+('Парк (SAP)'!$C$11:$C$346=$G4)&gt;0)))</f>
        <v>0</v>
      </c>
    </row>
    <row r="32">
      <c r="A32" s="43" t="n">
        <v>46023</v>
      </c>
      <c r="B32" s="32">
        <f>SUMPRODUCT(((YEAR('Парк (SAP)'!$H$11:$H$346)*12+MONTH('Парк (SAP)'!$H$11:$H$346)-1)=(YEAR($A32)*12+MONTH($A32)-1))*((($C4="(Все)")+('Парк (SAP)'!$B$11:$B$346=$C4)&gt;0))*((($G4="(Все)")+('Парк (SAP)'!$C$11:$C$346=$G4)&gt;0)))</f>
        <v>6</v>
      </c>
      <c r="C32" s="32">
        <f>E32-F31</f>
        <v>158</v>
      </c>
      <c r="D32" s="32">
        <f>SUMPRODUCT((((YEAR('Парк (SAP)'!$H$11:$H$346)*12+MONTH('Парк (SAP)'!$H$11:$H$346)-1)+$C5)=(YEAR($A32)*12+MONTH($A32)-1))*((($C4="(Все)")+('Парк (SAP)'!$B$11:$B$346=$C4)&gt;0))*((($G4="(Все)")+('Парк (SAP)'!$C$11:$C$346=$G4)&gt;0)))</f>
        <v>0</v>
      </c>
      <c r="E32" s="32">
        <f>SUMPRODUCT(((YEAR('Парк (SAP)'!$H$11:$H$346)*12+MONTH('Парк (SAP)'!$H$11:$H$346)-1)&lt;=(YEAR($A32)*12+MONTH($A32)-1))*((($C4="(Все)")+('Парк (SAP)'!$B$11:$B$346=$C4)&gt;0))*((($G4="(Все)")+('Парк (SAP)'!$C$11:$C$346=$G4)&gt;0)))</f>
        <v>158</v>
      </c>
      <c r="F32" s="32">
        <f>SUMPRODUCT((((YEAR('Парк (SAP)'!$H$11:$H$346)*12+MONTH('Парк (SAP)'!$H$11:$H$346)-1)+$C5)&lt;=(YEAR($A32)*12+MONTH($A32)-1))*((($C4="(Все)")+('Парк (SAP)'!$B$11:$B$346=$C4)&gt;0))*((($G4="(Все)")+('Парк (SAP)'!$C$11:$C$346=$G4)&gt;0)))</f>
        <v>0</v>
      </c>
    </row>
    <row r="33">
      <c r="A33" s="43" t="n">
        <v>46054</v>
      </c>
      <c r="B33" s="32">
        <f>SUMPRODUCT(((YEAR('Парк (SAP)'!$H$11:$H$346)*12+MONTH('Парк (SAP)'!$H$11:$H$346)-1)=(YEAR($A33)*12+MONTH($A33)-1))*((($C4="(Все)")+('Парк (SAP)'!$B$11:$B$346=$C4)&gt;0))*((($G4="(Все)")+('Парк (SAP)'!$C$11:$C$346=$G4)&gt;0)))</f>
        <v>11</v>
      </c>
      <c r="C33" s="32">
        <f>E33-F32</f>
        <v>169</v>
      </c>
      <c r="D33" s="32">
        <f>SUMPRODUCT((((YEAR('Парк (SAP)'!$H$11:$H$346)*12+MONTH('Парк (SAP)'!$H$11:$H$346)-1)+$C5)=(YEAR($A33)*12+MONTH($A33)-1))*((($C4="(Все)")+('Парк (SAP)'!$B$11:$B$346=$C4)&gt;0))*((($G4="(Все)")+('Парк (SAP)'!$C$11:$C$346=$G4)&gt;0)))</f>
        <v>9</v>
      </c>
      <c r="E33" s="32">
        <f>SUMPRODUCT(((YEAR('Парк (SAP)'!$H$11:$H$346)*12+MONTH('Парк (SAP)'!$H$11:$H$346)-1)&lt;=(YEAR($A33)*12+MONTH($A33)-1))*((($C4="(Все)")+('Парк (SAP)'!$B$11:$B$346=$C4)&gt;0))*((($G4="(Все)")+('Парк (SAP)'!$C$11:$C$346=$G4)&gt;0)))</f>
        <v>169</v>
      </c>
      <c r="F33" s="32">
        <f>SUMPRODUCT((((YEAR('Парк (SAP)'!$H$11:$H$346)*12+MONTH('Парк (SAP)'!$H$11:$H$346)-1)+$C5)&lt;=(YEAR($A33)*12+MONTH($A33)-1))*((($C4="(Все)")+('Парк (SAP)'!$B$11:$B$346=$C4)&gt;0))*((($G4="(Все)")+('Парк (SAP)'!$C$11:$C$346=$G4)&gt;0)))</f>
        <v>9</v>
      </c>
    </row>
    <row r="34">
      <c r="A34" s="43" t="n">
        <v>46082</v>
      </c>
      <c r="B34" s="32">
        <f>SUMPRODUCT(((YEAR('Парк (SAP)'!$H$11:$H$346)*12+MONTH('Парк (SAP)'!$H$11:$H$346)-1)=(YEAR($A34)*12+MONTH($A34)-1))*((($C4="(Все)")+('Парк (SAP)'!$B$11:$B$346=$C4)&gt;0))*((($G4="(Все)")+('Парк (SAP)'!$C$11:$C$346=$G4)&gt;0)))</f>
        <v>13</v>
      </c>
      <c r="C34" s="32">
        <f>E34-F33</f>
        <v>173</v>
      </c>
      <c r="D34" s="32">
        <f>SUMPRODUCT((((YEAR('Парк (SAP)'!$H$11:$H$346)*12+MONTH('Парк (SAP)'!$H$11:$H$346)-1)+$C5)=(YEAR($A34)*12+MONTH($A34)-1))*((($C4="(Все)")+('Парк (SAP)'!$B$11:$B$346=$C4)&gt;0))*((($G4="(Все)")+('Парк (SAP)'!$C$11:$C$346=$G4)&gt;0)))</f>
        <v>10</v>
      </c>
      <c r="E34" s="32">
        <f>SUMPRODUCT(((YEAR('Парк (SAP)'!$H$11:$H$346)*12+MONTH('Парк (SAP)'!$H$11:$H$346)-1)&lt;=(YEAR($A34)*12+MONTH($A34)-1))*((($C4="(Все)")+('Парк (SAP)'!$B$11:$B$346=$C4)&gt;0))*((($G4="(Все)")+('Парк (SAP)'!$C$11:$C$346=$G4)&gt;0)))</f>
        <v>182</v>
      </c>
      <c r="F34" s="32">
        <f>SUMPRODUCT((((YEAR('Парк (SAP)'!$H$11:$H$346)*12+MONTH('Парк (SAP)'!$H$11:$H$346)-1)+$C5)&lt;=(YEAR($A34)*12+MONTH($A34)-1))*((($C4="(Все)")+('Парк (SAP)'!$B$11:$B$346=$C4)&gt;0))*((($G4="(Все)")+('Парк (SAP)'!$C$11:$C$346=$G4)&gt;0)))</f>
        <v>19</v>
      </c>
    </row>
    <row r="35">
      <c r="A35" s="43" t="n">
        <v>46113</v>
      </c>
      <c r="B35" s="32">
        <f>SUMPRODUCT(((YEAR('Парк (SAP)'!$H$11:$H$346)*12+MONTH('Парк (SAP)'!$H$11:$H$346)-1)=(YEAR($A35)*12+MONTH($A35)-1))*((($C4="(Все)")+('Парк (SAP)'!$B$11:$B$346=$C4)&gt;0))*((($G4="(Все)")+('Парк (SAP)'!$C$11:$C$346=$G4)&gt;0)))</f>
        <v>9</v>
      </c>
      <c r="C35" s="32">
        <f>E35-F34</f>
        <v>172</v>
      </c>
      <c r="D35" s="32">
        <f>SUMPRODUCT((((YEAR('Парк (SAP)'!$H$11:$H$346)*12+MONTH('Парк (SAP)'!$H$11:$H$346)-1)+$C5)=(YEAR($A35)*12+MONTH($A35)-1))*((($C4="(Все)")+('Парк (SAP)'!$B$11:$B$346=$C4)&gt;0))*((($G4="(Все)")+('Парк (SAP)'!$C$11:$C$346=$G4)&gt;0)))</f>
        <v>10</v>
      </c>
      <c r="E35" s="32">
        <f>SUMPRODUCT(((YEAR('Парк (SAP)'!$H$11:$H$346)*12+MONTH('Парк (SAP)'!$H$11:$H$346)-1)&lt;=(YEAR($A35)*12+MONTH($A35)-1))*((($C4="(Все)")+('Парк (SAP)'!$B$11:$B$346=$C4)&gt;0))*((($G4="(Все)")+('Парк (SAP)'!$C$11:$C$346=$G4)&gt;0)))</f>
        <v>191</v>
      </c>
      <c r="F35" s="32">
        <f>SUMPRODUCT((((YEAR('Парк (SAP)'!$H$11:$H$346)*12+MONTH('Парк (SAP)'!$H$11:$H$346)-1)+$C5)&lt;=(YEAR($A35)*12+MONTH($A35)-1))*((($C4="(Все)")+('Парк (SAP)'!$B$11:$B$346=$C4)&gt;0))*((($G4="(Все)")+('Парк (SAP)'!$C$11:$C$346=$G4)&gt;0)))</f>
        <v>29</v>
      </c>
    </row>
    <row r="36">
      <c r="A36" s="43" t="n">
        <v>46143</v>
      </c>
      <c r="B36" s="32">
        <f>SUMPRODUCT(((YEAR('Парк (SAP)'!$H$11:$H$346)*12+MONTH('Парк (SAP)'!$H$11:$H$346)-1)=(YEAR($A36)*12+MONTH($A36)-1))*((($C4="(Все)")+('Парк (SAP)'!$B$11:$B$346=$C4)&gt;0))*((($G4="(Все)")+('Парк (SAP)'!$C$11:$C$346=$G4)&gt;0)))</f>
        <v>5</v>
      </c>
      <c r="C36" s="32">
        <f>E36-F35</f>
        <v>167</v>
      </c>
      <c r="D36" s="32">
        <f>SUMPRODUCT((((YEAR('Парк (SAP)'!$H$11:$H$346)*12+MONTH('Парк (SAP)'!$H$11:$H$346)-1)+$C5)=(YEAR($A36)*12+MONTH($A36)-1))*((($C4="(Все)")+('Парк (SAP)'!$B$11:$B$346=$C4)&gt;0))*((($G4="(Все)")+('Парк (SAP)'!$C$11:$C$346=$G4)&gt;0)))</f>
        <v>11</v>
      </c>
      <c r="E36" s="32">
        <f>SUMPRODUCT(((YEAR('Парк (SAP)'!$H$11:$H$346)*12+MONTH('Парк (SAP)'!$H$11:$H$346)-1)&lt;=(YEAR($A36)*12+MONTH($A36)-1))*((($C4="(Все)")+('Парк (SAP)'!$B$11:$B$346=$C4)&gt;0))*((($G4="(Все)")+('Парк (SAP)'!$C$11:$C$346=$G4)&gt;0)))</f>
        <v>196</v>
      </c>
      <c r="F36" s="32">
        <f>SUMPRODUCT((((YEAR('Парк (SAP)'!$H$11:$H$346)*12+MONTH('Парк (SAP)'!$H$11:$H$346)-1)+$C5)&lt;=(YEAR($A36)*12+MONTH($A36)-1))*((($C4="(Все)")+('Парк (SAP)'!$B$11:$B$346=$C4)&gt;0))*((($G4="(Все)")+('Парк (SAP)'!$C$11:$C$346=$G4)&gt;0)))</f>
        <v>40</v>
      </c>
    </row>
    <row r="37">
      <c r="A37" s="43" t="n">
        <v>46174</v>
      </c>
      <c r="B37" s="32">
        <f>SUMPRODUCT(((YEAR('Парк (SAP)'!$H$11:$H$346)*12+MONTH('Парк (SAP)'!$H$11:$H$346)-1)=(YEAR($A37)*12+MONTH($A37)-1))*((($C4="(Все)")+('Парк (SAP)'!$B$11:$B$346=$C4)&gt;0))*((($G4="(Все)")+('Парк (SAP)'!$C$11:$C$346=$G4)&gt;0)))</f>
        <v>6</v>
      </c>
      <c r="C37" s="32">
        <f>E37-F36</f>
        <v>162</v>
      </c>
      <c r="D37" s="32">
        <f>SUMPRODUCT((((YEAR('Парк (SAP)'!$H$11:$H$346)*12+MONTH('Парк (SAP)'!$H$11:$H$346)-1)+$C5)=(YEAR($A37)*12+MONTH($A37)-1))*((($C4="(Все)")+('Парк (SAP)'!$B$11:$B$346=$C4)&gt;0))*((($G4="(Все)")+('Парк (SAP)'!$C$11:$C$346=$G4)&gt;0)))</f>
        <v>5</v>
      </c>
      <c r="E37" s="32">
        <f>SUMPRODUCT(((YEAR('Парк (SAP)'!$H$11:$H$346)*12+MONTH('Парк (SAP)'!$H$11:$H$346)-1)&lt;=(YEAR($A37)*12+MONTH($A37)-1))*((($C4="(Все)")+('Парк (SAP)'!$B$11:$B$346=$C4)&gt;0))*((($G4="(Все)")+('Парк (SAP)'!$C$11:$C$346=$G4)&gt;0)))</f>
        <v>202</v>
      </c>
      <c r="F37" s="32">
        <f>SUMPRODUCT((((YEAR('Парк (SAP)'!$H$11:$H$346)*12+MONTH('Парк (SAP)'!$H$11:$H$346)-1)+$C5)&lt;=(YEAR($A37)*12+MONTH($A37)-1))*((($C4="(Все)")+('Парк (SAP)'!$B$11:$B$346=$C4)&gt;0))*((($G4="(Все)")+('Парк (SAP)'!$C$11:$C$346=$G4)&gt;0)))</f>
        <v>45</v>
      </c>
    </row>
    <row r="38">
      <c r="A38" s="43" t="n">
        <v>46204</v>
      </c>
      <c r="B38" s="32">
        <f>SUMPRODUCT(((YEAR('Парк (SAP)'!$H$11:$H$346)*12+MONTH('Парк (SAP)'!$H$11:$H$346)-1)=(YEAR($A38)*12+MONTH($A38)-1))*((($C4="(Все)")+('Парк (SAP)'!$B$11:$B$346=$C4)&gt;0))*((($G4="(Все)")+('Парк (SAP)'!$C$11:$C$346=$G4)&gt;0)))</f>
        <v>2</v>
      </c>
      <c r="C38" s="32">
        <f>E38-F37</f>
        <v>159</v>
      </c>
      <c r="D38" s="32">
        <f>SUMPRODUCT((((YEAR('Парк (SAP)'!$H$11:$H$346)*12+MONTH('Парк (SAP)'!$H$11:$H$346)-1)+$C5)=(YEAR($A38)*12+MONTH($A38)-1))*((($C4="(Все)")+('Парк (SAP)'!$B$11:$B$346=$C4)&gt;0))*((($G4="(Все)")+('Парк (SAP)'!$C$11:$C$346=$G4)&gt;0)))</f>
        <v>9</v>
      </c>
      <c r="E38" s="32">
        <f>SUMPRODUCT(((YEAR('Парк (SAP)'!$H$11:$H$346)*12+MONTH('Парк (SAP)'!$H$11:$H$346)-1)&lt;=(YEAR($A38)*12+MONTH($A38)-1))*((($C4="(Все)")+('Парк (SAP)'!$B$11:$B$346=$C4)&gt;0))*((($G4="(Все)")+('Парк (SAP)'!$C$11:$C$346=$G4)&gt;0)))</f>
        <v>204</v>
      </c>
      <c r="F38" s="32">
        <f>SUMPRODUCT((((YEAR('Парк (SAP)'!$H$11:$H$346)*12+MONTH('Парк (SAP)'!$H$11:$H$346)-1)+$C5)&lt;=(YEAR($A38)*12+MONTH($A38)-1))*((($C4="(Все)")+('Парк (SAP)'!$B$11:$B$346=$C4)&gt;0))*((($G4="(Все)")+('Парк (SAP)'!$C$11:$C$346=$G4)&gt;0)))</f>
        <v>54</v>
      </c>
    </row>
    <row r="39">
      <c r="A39" s="43" t="n">
        <v>46235</v>
      </c>
      <c r="B39" s="32">
        <f>SUMPRODUCT(((YEAR('Парк (SAP)'!$H$11:$H$346)*12+MONTH('Парк (SAP)'!$H$11:$H$346)-1)=(YEAR($A39)*12+MONTH($A39)-1))*((($C4="(Все)")+('Парк (SAP)'!$B$11:$B$346=$C4)&gt;0))*((($G4="(Все)")+('Парк (SAP)'!$C$11:$C$346=$G4)&gt;0)))</f>
        <v>0</v>
      </c>
      <c r="C39" s="32">
        <f>E39-F38</f>
        <v>150</v>
      </c>
      <c r="D39" s="32">
        <f>SUMPRODUCT((((YEAR('Парк (SAP)'!$H$11:$H$346)*12+MONTH('Парк (SAP)'!$H$11:$H$346)-1)+$C5)=(YEAR($A39)*12+MONTH($A39)-1))*((($C4="(Все)")+('Парк (SAP)'!$B$11:$B$346=$C4)&gt;0))*((($G4="(Все)")+('Парк (SAP)'!$C$11:$C$346=$G4)&gt;0)))</f>
        <v>2</v>
      </c>
      <c r="E39" s="32">
        <f>SUMPRODUCT(((YEAR('Парк (SAP)'!$H$11:$H$346)*12+MONTH('Парк (SAP)'!$H$11:$H$346)-1)&lt;=(YEAR($A39)*12+MONTH($A39)-1))*((($C4="(Все)")+('Парк (SAP)'!$B$11:$B$346=$C4)&gt;0))*((($G4="(Все)")+('Парк (SAP)'!$C$11:$C$346=$G4)&gt;0)))</f>
        <v>204</v>
      </c>
      <c r="F39" s="32">
        <f>SUMPRODUCT((((YEAR('Парк (SAP)'!$H$11:$H$346)*12+MONTH('Парк (SAP)'!$H$11:$H$346)-1)+$C5)&lt;=(YEAR($A39)*12+MONTH($A39)-1))*((($C4="(Все)")+('Парк (SAP)'!$B$11:$B$346=$C4)&gt;0))*((($G4="(Все)")+('Парк (SAP)'!$C$11:$C$346=$G4)&gt;0)))</f>
        <v>56</v>
      </c>
    </row>
    <row r="40">
      <c r="A40" s="43" t="n">
        <v>46266</v>
      </c>
      <c r="B40" s="32">
        <f>SUMPRODUCT(((YEAR('Парк (SAP)'!$H$11:$H$346)*12+MONTH('Парк (SAP)'!$H$11:$H$346)-1)=(YEAR($A40)*12+MONTH($A40)-1))*((($C4="(Все)")+('Парк (SAP)'!$B$11:$B$346=$C4)&gt;0))*((($G4="(Все)")+('Парк (SAP)'!$C$11:$C$346=$G4)&gt;0)))</f>
        <v>5</v>
      </c>
      <c r="C40" s="32">
        <f>E40-F39</f>
        <v>153</v>
      </c>
      <c r="D40" s="32">
        <f>SUMPRODUCT((((YEAR('Парк (SAP)'!$H$11:$H$346)*12+MONTH('Парк (SAP)'!$H$11:$H$346)-1)+$C5)=(YEAR($A40)*12+MONTH($A40)-1))*((($C4="(Все)")+('Парк (SAP)'!$B$11:$B$346=$C4)&gt;0))*((($G4="(Все)")+('Парк (SAP)'!$C$11:$C$346=$G4)&gt;0)))</f>
        <v>4</v>
      </c>
      <c r="E40" s="32">
        <f>SUMPRODUCT(((YEAR('Парк (SAP)'!$H$11:$H$346)*12+MONTH('Парк (SAP)'!$H$11:$H$346)-1)&lt;=(YEAR($A40)*12+MONTH($A40)-1))*((($C4="(Все)")+('Парк (SAP)'!$B$11:$B$346=$C4)&gt;0))*((($G4="(Все)")+('Парк (SAP)'!$C$11:$C$346=$G4)&gt;0)))</f>
        <v>209</v>
      </c>
      <c r="F40" s="32">
        <f>SUMPRODUCT((((YEAR('Парк (SAP)'!$H$11:$H$346)*12+MONTH('Парк (SAP)'!$H$11:$H$346)-1)+$C5)&lt;=(YEAR($A40)*12+MONTH($A40)-1))*((($C4="(Все)")+('Парк (SAP)'!$B$11:$B$346=$C4)&gt;0))*((($G4="(Все)")+('Парк (SAP)'!$C$11:$C$346=$G4)&gt;0)))</f>
        <v>60</v>
      </c>
    </row>
    <row r="41">
      <c r="A41" s="43" t="n">
        <v>46296</v>
      </c>
      <c r="B41" s="32">
        <f>SUMPRODUCT(((YEAR('Парк (SAP)'!$H$11:$H$346)*12+MONTH('Парк (SAP)'!$H$11:$H$346)-1)=(YEAR($A41)*12+MONTH($A41)-1))*((($C4="(Все)")+('Парк (SAP)'!$B$11:$B$346=$C4)&gt;0))*((($G4="(Все)")+('Парк (SAP)'!$C$11:$C$346=$G4)&gt;0)))</f>
        <v>9</v>
      </c>
      <c r="C41" s="32">
        <f>E41-F40</f>
        <v>158</v>
      </c>
      <c r="D41" s="32">
        <f>SUMPRODUCT((((YEAR('Парк (SAP)'!$H$11:$H$346)*12+MONTH('Парк (SAP)'!$H$11:$H$346)-1)+$C5)=(YEAR($A41)*12+MONTH($A41)-1))*((($C4="(Все)")+('Парк (SAP)'!$B$11:$B$346=$C4)&gt;0))*((($G4="(Все)")+('Парк (SAP)'!$C$11:$C$346=$G4)&gt;0)))</f>
        <v>2</v>
      </c>
      <c r="E41" s="32">
        <f>SUMPRODUCT(((YEAR('Парк (SAP)'!$H$11:$H$346)*12+MONTH('Парк (SAP)'!$H$11:$H$346)-1)&lt;=(YEAR($A41)*12+MONTH($A41)-1))*((($C4="(Все)")+('Парк (SAP)'!$B$11:$B$346=$C4)&gt;0))*((($G4="(Все)")+('Парк (SAP)'!$C$11:$C$346=$G4)&gt;0)))</f>
        <v>218</v>
      </c>
      <c r="F41" s="32">
        <f>SUMPRODUCT((((YEAR('Парк (SAP)'!$H$11:$H$346)*12+MONTH('Парк (SAP)'!$H$11:$H$346)-1)+$C5)&lt;=(YEAR($A41)*12+MONTH($A41)-1))*((($C4="(Все)")+('Парк (SAP)'!$B$11:$B$346=$C4)&gt;0))*((($G4="(Все)")+('Парк (SAP)'!$C$11:$C$346=$G4)&gt;0)))</f>
        <v>62</v>
      </c>
    </row>
    <row r="42">
      <c r="A42" s="43" t="n">
        <v>46327</v>
      </c>
      <c r="B42" s="32">
        <f>SUMPRODUCT(((YEAR('Парк (SAP)'!$H$11:$H$346)*12+MONTH('Парк (SAP)'!$H$11:$H$346)-1)=(YEAR($A42)*12+MONTH($A42)-1))*((($C4="(Все)")+('Парк (SAP)'!$B$11:$B$346=$C4)&gt;0))*((($G4="(Все)")+('Парк (SAP)'!$C$11:$C$346=$G4)&gt;0)))</f>
        <v>13</v>
      </c>
      <c r="C42" s="32">
        <f>E42-F41</f>
        <v>169</v>
      </c>
      <c r="D42" s="32">
        <f>SUMPRODUCT((((YEAR('Парк (SAP)'!$H$11:$H$346)*12+MONTH('Парк (SAP)'!$H$11:$H$346)-1)+$C5)=(YEAR($A42)*12+MONTH($A42)-1))*((($C4="(Все)")+('Парк (SAP)'!$B$11:$B$346=$C4)&gt;0))*((($G4="(Все)")+('Парк (SAP)'!$C$11:$C$346=$G4)&gt;0)))</f>
        <v>0</v>
      </c>
      <c r="E42" s="32">
        <f>SUMPRODUCT(((YEAR('Парк (SAP)'!$H$11:$H$346)*12+MONTH('Парк (SAP)'!$H$11:$H$346)-1)&lt;=(YEAR($A42)*12+MONTH($A42)-1))*((($C4="(Все)")+('Парк (SAP)'!$B$11:$B$346=$C4)&gt;0))*((($G4="(Все)")+('Парк (SAP)'!$C$11:$C$346=$G4)&gt;0)))</f>
        <v>231</v>
      </c>
      <c r="F42" s="32">
        <f>SUMPRODUCT((((YEAR('Парк (SAP)'!$H$11:$H$346)*12+MONTH('Парк (SAP)'!$H$11:$H$346)-1)+$C5)&lt;=(YEAR($A42)*12+MONTH($A42)-1))*((($C4="(Все)")+('Парк (SAP)'!$B$11:$B$346=$C4)&gt;0))*((($G4="(Все)")+('Парк (SAP)'!$C$11:$C$346=$G4)&gt;0)))</f>
        <v>62</v>
      </c>
    </row>
    <row r="43">
      <c r="A43" s="43" t="n">
        <v>46357</v>
      </c>
      <c r="B43" s="32">
        <f>SUMPRODUCT(((YEAR('Парк (SAP)'!$H$11:$H$346)*12+MONTH('Парк (SAP)'!$H$11:$H$346)-1)=(YEAR($A43)*12+MONTH($A43)-1))*((($C4="(Все)")+('Парк (SAP)'!$B$11:$B$346=$C4)&gt;0))*((($G4="(Все)")+('Парк (SAP)'!$C$11:$C$346=$G4)&gt;0)))</f>
        <v>6</v>
      </c>
      <c r="C43" s="32">
        <f>E43-F42</f>
        <v>175</v>
      </c>
      <c r="D43" s="32">
        <f>SUMPRODUCT((((YEAR('Парк (SAP)'!$H$11:$H$346)*12+MONTH('Парк (SAP)'!$H$11:$H$346)-1)+$C5)=(YEAR($A43)*12+MONTH($A43)-1))*((($C4="(Все)")+('Парк (SAP)'!$B$11:$B$346=$C4)&gt;0))*((($G4="(Все)")+('Парк (SAP)'!$C$11:$C$346=$G4)&gt;0)))</f>
        <v>6</v>
      </c>
      <c r="E43" s="32">
        <f>SUMPRODUCT(((YEAR('Парк (SAP)'!$H$11:$H$346)*12+MONTH('Парк (SAP)'!$H$11:$H$346)-1)&lt;=(YEAR($A43)*12+MONTH($A43)-1))*((($C4="(Все)")+('Парк (SAP)'!$B$11:$B$346=$C4)&gt;0))*((($G4="(Все)")+('Парк (SAP)'!$C$11:$C$346=$G4)&gt;0)))</f>
        <v>237</v>
      </c>
      <c r="F43" s="32">
        <f>SUMPRODUCT((((YEAR('Парк (SAP)'!$H$11:$H$346)*12+MONTH('Парк (SAP)'!$H$11:$H$346)-1)+$C5)&lt;=(YEAR($A43)*12+MONTH($A43)-1))*((($C4="(Все)")+('Парк (SAP)'!$B$11:$B$346=$C4)&gt;0))*((($G4="(Все)")+('Парк (SAP)'!$C$11:$C$346=$G4)&gt;0)))</f>
        <v>68</v>
      </c>
    </row>
    <row r="44">
      <c r="A44" s="43" t="n">
        <v>46388</v>
      </c>
      <c r="B44" s="32">
        <f>SUMPRODUCT(((YEAR('Парк (SAP)'!$H$11:$H$346)*12+MONTH('Парк (SAP)'!$H$11:$H$346)-1)=(YEAR($A44)*12+MONTH($A44)-1))*((($C4="(Все)")+('Парк (SAP)'!$B$11:$B$346=$C4)&gt;0))*((($G4="(Все)")+('Парк (SAP)'!$C$11:$C$346=$G4)&gt;0)))</f>
        <v>8</v>
      </c>
      <c r="C44" s="32">
        <f>E44-F43</f>
        <v>177</v>
      </c>
      <c r="D44" s="32">
        <f>SUMPRODUCT((((YEAR('Парк (SAP)'!$H$11:$H$346)*12+MONTH('Парк (SAP)'!$H$11:$H$346)-1)+$C5)=(YEAR($A44)*12+MONTH($A44)-1))*((($C4="(Все)")+('Парк (SAP)'!$B$11:$B$346=$C4)&gt;0))*((($G4="(Все)")+('Парк (SAP)'!$C$11:$C$346=$G4)&gt;0)))</f>
        <v>10</v>
      </c>
      <c r="E44" s="32">
        <f>SUMPRODUCT(((YEAR('Парк (SAP)'!$H$11:$H$346)*12+MONTH('Парк (SAP)'!$H$11:$H$346)-1)&lt;=(YEAR($A44)*12+MONTH($A44)-1))*((($C4="(Все)")+('Парк (SAP)'!$B$11:$B$346=$C4)&gt;0))*((($G4="(Все)")+('Парк (SAP)'!$C$11:$C$346=$G4)&gt;0)))</f>
        <v>245</v>
      </c>
      <c r="F44" s="32">
        <f>SUMPRODUCT((((YEAR('Парк (SAP)'!$H$11:$H$346)*12+MONTH('Парк (SAP)'!$H$11:$H$346)-1)+$C5)&lt;=(YEAR($A44)*12+MONTH($A44)-1))*((($C4="(Все)")+('Парк (SAP)'!$B$11:$B$346=$C4)&gt;0))*((($G4="(Все)")+('Парк (SAP)'!$C$11:$C$346=$G4)&gt;0)))</f>
        <v>78</v>
      </c>
    </row>
    <row r="45">
      <c r="A45" s="43" t="n">
        <v>46419</v>
      </c>
      <c r="B45" s="32">
        <f>SUMPRODUCT(((YEAR('Парк (SAP)'!$H$11:$H$346)*12+MONTH('Парк (SAP)'!$H$11:$H$346)-1)=(YEAR($A45)*12+MONTH($A45)-1))*((($C4="(Все)")+('Парк (SAP)'!$B$11:$B$346=$C4)&gt;0))*((($G4="(Все)")+('Парк (SAP)'!$C$11:$C$346=$G4)&gt;0)))</f>
        <v>7</v>
      </c>
      <c r="C45" s="32">
        <f>E45-F44</f>
        <v>174</v>
      </c>
      <c r="D45" s="32">
        <f>SUMPRODUCT((((YEAR('Парк (SAP)'!$H$11:$H$346)*12+MONTH('Парк (SAP)'!$H$11:$H$346)-1)+$C5)=(YEAR($A45)*12+MONTH($A45)-1))*((($C4="(Все)")+('Парк (SAP)'!$B$11:$B$346=$C4)&gt;0))*((($G4="(Все)")+('Парк (SAP)'!$C$11:$C$346=$G4)&gt;0)))</f>
        <v>9</v>
      </c>
      <c r="E45" s="32">
        <f>SUMPRODUCT(((YEAR('Парк (SAP)'!$H$11:$H$346)*12+MONTH('Парк (SAP)'!$H$11:$H$346)-1)&lt;=(YEAR($A45)*12+MONTH($A45)-1))*((($C4="(Все)")+('Парк (SAP)'!$B$11:$B$346=$C4)&gt;0))*((($G4="(Все)")+('Парк (SAP)'!$C$11:$C$346=$G4)&gt;0)))</f>
        <v>252</v>
      </c>
      <c r="F45" s="32">
        <f>SUMPRODUCT((((YEAR('Парк (SAP)'!$H$11:$H$346)*12+MONTH('Парк (SAP)'!$H$11:$H$346)-1)+$C5)&lt;=(YEAR($A45)*12+MONTH($A45)-1))*((($C4="(Все)")+('Парк (SAP)'!$B$11:$B$346=$C4)&gt;0))*((($G4="(Все)")+('Парк (SAP)'!$C$11:$C$346=$G4)&gt;0)))</f>
        <v>87</v>
      </c>
    </row>
    <row r="46">
      <c r="A46" s="43" t="n">
        <v>46447</v>
      </c>
      <c r="B46" s="32">
        <f>SUMPRODUCT(((YEAR('Парк (SAP)'!$H$11:$H$346)*12+MONTH('Парк (SAP)'!$H$11:$H$346)-1)=(YEAR($A46)*12+MONTH($A46)-1))*((($C4="(Все)")+('Парк (SAP)'!$B$11:$B$346=$C4)&gt;0))*((($G4="(Все)")+('Парк (SAP)'!$C$11:$C$346=$G4)&gt;0)))</f>
        <v>0</v>
      </c>
      <c r="C46" s="32">
        <f>E46-F45</f>
        <v>165</v>
      </c>
      <c r="D46" s="32">
        <f>SUMPRODUCT((((YEAR('Парк (SAP)'!$H$11:$H$346)*12+MONTH('Парк (SAP)'!$H$11:$H$346)-1)+$C5)=(YEAR($A46)*12+MONTH($A46)-1))*((($C4="(Все)")+('Парк (SAP)'!$B$11:$B$346=$C4)&gt;0))*((($G4="(Все)")+('Парк (SAP)'!$C$11:$C$346=$G4)&gt;0)))</f>
        <v>13</v>
      </c>
      <c r="E46" s="32">
        <f>SUMPRODUCT(((YEAR('Парк (SAP)'!$H$11:$H$346)*12+MONTH('Парк (SAP)'!$H$11:$H$346)-1)&lt;=(YEAR($A46)*12+MONTH($A46)-1))*((($C4="(Все)")+('Парк (SAP)'!$B$11:$B$346=$C4)&gt;0))*((($G4="(Все)")+('Парк (SAP)'!$C$11:$C$346=$G4)&gt;0)))</f>
        <v>252</v>
      </c>
      <c r="F46" s="32">
        <f>SUMPRODUCT((((YEAR('Парк (SAP)'!$H$11:$H$346)*12+MONTH('Парк (SAP)'!$H$11:$H$346)-1)+$C5)&lt;=(YEAR($A46)*12+MONTH($A46)-1))*((($C4="(Все)")+('Парк (SAP)'!$B$11:$B$346=$C4)&gt;0))*((($G4="(Все)")+('Парк (SAP)'!$C$11:$C$346=$G4)&gt;0)))</f>
        <v>100</v>
      </c>
    </row>
    <row r="47">
      <c r="A47" s="43" t="n">
        <v>46478</v>
      </c>
      <c r="B47" s="32">
        <f>SUMPRODUCT(((YEAR('Парк (SAP)'!$H$11:$H$346)*12+MONTH('Парк (SAP)'!$H$11:$H$346)-1)=(YEAR($A47)*12+MONTH($A47)-1))*((($C4="(Все)")+('Парк (SAP)'!$B$11:$B$346=$C4)&gt;0))*((($G4="(Все)")+('Парк (SAP)'!$C$11:$C$346=$G4)&gt;0)))</f>
        <v>8</v>
      </c>
      <c r="C47" s="32">
        <f>E47-F46</f>
        <v>160</v>
      </c>
      <c r="D47" s="32">
        <f>SUMPRODUCT((((YEAR('Парк (SAP)'!$H$11:$H$346)*12+MONTH('Парк (SAP)'!$H$11:$H$346)-1)+$C5)=(YEAR($A47)*12+MONTH($A47)-1))*((($C4="(Все)")+('Парк (SAP)'!$B$11:$B$346=$C4)&gt;0))*((($G4="(Все)")+('Парк (SAP)'!$C$11:$C$346=$G4)&gt;0)))</f>
        <v>7</v>
      </c>
      <c r="E47" s="32">
        <f>SUMPRODUCT(((YEAR('Парк (SAP)'!$H$11:$H$346)*12+MONTH('Парк (SAP)'!$H$11:$H$346)-1)&lt;=(YEAR($A47)*12+MONTH($A47)-1))*((($C4="(Все)")+('Парк (SAP)'!$B$11:$B$346=$C4)&gt;0))*((($G4="(Все)")+('Парк (SAP)'!$C$11:$C$346=$G4)&gt;0)))</f>
        <v>260</v>
      </c>
      <c r="F47" s="32">
        <f>SUMPRODUCT((((YEAR('Парк (SAP)'!$H$11:$H$346)*12+MONTH('Парк (SAP)'!$H$11:$H$346)-1)+$C5)&lt;=(YEAR($A47)*12+MONTH($A47)-1))*((($C4="(Все)")+('Парк (SAP)'!$B$11:$B$346=$C4)&gt;0))*((($G4="(Все)")+('Парк (SAP)'!$C$11:$C$346=$G4)&gt;0)))</f>
        <v>107</v>
      </c>
    </row>
    <row r="48">
      <c r="A48" s="43" t="n">
        <v>46508</v>
      </c>
      <c r="B48" s="32">
        <f>SUMPRODUCT(((YEAR('Парк (SAP)'!$H$11:$H$346)*12+MONTH('Парк (SAP)'!$H$11:$H$346)-1)=(YEAR($A48)*12+MONTH($A48)-1))*((($C4="(Все)")+('Парк (SAP)'!$B$11:$B$346=$C4)&gt;0))*((($G4="(Все)")+('Парк (SAP)'!$C$11:$C$346=$G4)&gt;0)))</f>
        <v>7</v>
      </c>
      <c r="C48" s="32">
        <f>E48-F47</f>
        <v>160</v>
      </c>
      <c r="D48" s="32">
        <f>SUMPRODUCT((((YEAR('Парк (SAP)'!$H$11:$H$346)*12+MONTH('Парк (SAP)'!$H$11:$H$346)-1)+$C5)=(YEAR($A48)*12+MONTH($A48)-1))*((($C4="(Все)")+('Парк (SAP)'!$B$11:$B$346=$C4)&gt;0))*((($G4="(Все)")+('Парк (SAP)'!$C$11:$C$346=$G4)&gt;0)))</f>
        <v>4</v>
      </c>
      <c r="E48" s="32">
        <f>SUMPRODUCT(((YEAR('Парк (SAP)'!$H$11:$H$346)*12+MONTH('Парк (SAP)'!$H$11:$H$346)-1)&lt;=(YEAR($A48)*12+MONTH($A48)-1))*((($C4="(Все)")+('Парк (SAP)'!$B$11:$B$346=$C4)&gt;0))*((($G4="(Все)")+('Парк (SAP)'!$C$11:$C$346=$G4)&gt;0)))</f>
        <v>267</v>
      </c>
      <c r="F48" s="32">
        <f>SUMPRODUCT((((YEAR('Парк (SAP)'!$H$11:$H$346)*12+MONTH('Парк (SAP)'!$H$11:$H$346)-1)+$C5)&lt;=(YEAR($A48)*12+MONTH($A48)-1))*((($C4="(Все)")+('Парк (SAP)'!$B$11:$B$346=$C4)&gt;0))*((($G4="(Все)")+('Парк (SAP)'!$C$11:$C$346=$G4)&gt;0)))</f>
        <v>111</v>
      </c>
    </row>
    <row r="49">
      <c r="A49" s="43" t="n">
        <v>46539</v>
      </c>
      <c r="B49" s="32">
        <f>SUMPRODUCT(((YEAR('Парк (SAP)'!$H$11:$H$346)*12+MONTH('Парк (SAP)'!$H$11:$H$346)-1)=(YEAR($A49)*12+MONTH($A49)-1))*((($C4="(Все)")+('Парк (SAP)'!$B$11:$B$346=$C4)&gt;0))*((($G4="(Все)")+('Парк (SAP)'!$C$11:$C$346=$G4)&gt;0)))</f>
        <v>4</v>
      </c>
      <c r="C49" s="32">
        <f>E49-F48</f>
        <v>160</v>
      </c>
      <c r="D49" s="32">
        <f>SUMPRODUCT((((YEAR('Парк (SAP)'!$H$11:$H$346)*12+MONTH('Парк (SAP)'!$H$11:$H$346)-1)+$C5)=(YEAR($A49)*12+MONTH($A49)-1))*((($C4="(Все)")+('Парк (SAP)'!$B$11:$B$346=$C4)&gt;0))*((($G4="(Все)")+('Парк (SAP)'!$C$11:$C$346=$G4)&gt;0)))</f>
        <v>4</v>
      </c>
      <c r="E49" s="32">
        <f>SUMPRODUCT(((YEAR('Парк (SAP)'!$H$11:$H$346)*12+MONTH('Парк (SAP)'!$H$11:$H$346)-1)&lt;=(YEAR($A49)*12+MONTH($A49)-1))*((($C4="(Все)")+('Парк (SAP)'!$B$11:$B$346=$C4)&gt;0))*((($G4="(Все)")+('Парк (SAP)'!$C$11:$C$346=$G4)&gt;0)))</f>
        <v>271</v>
      </c>
      <c r="F49" s="32">
        <f>SUMPRODUCT((((YEAR('Парк (SAP)'!$H$11:$H$346)*12+MONTH('Парк (SAP)'!$H$11:$H$346)-1)+$C5)&lt;=(YEAR($A49)*12+MONTH($A49)-1))*((($C4="(Все)")+('Парк (SAP)'!$B$11:$B$346=$C4)&gt;0))*((($G4="(Все)")+('Парк (SAP)'!$C$11:$C$346=$G4)&gt;0)))</f>
        <v>115</v>
      </c>
    </row>
    <row r="50">
      <c r="A50" s="43" t="n">
        <v>46569</v>
      </c>
      <c r="B50" s="32">
        <f>SUMPRODUCT(((YEAR('Парк (SAP)'!$H$11:$H$346)*12+MONTH('Парк (SAP)'!$H$11:$H$346)-1)=(YEAR($A50)*12+MONTH($A50)-1))*((($C4="(Все)")+('Парк (SAP)'!$B$11:$B$346=$C4)&gt;0))*((($G4="(Все)")+('Парк (SAP)'!$C$11:$C$346=$G4)&gt;0)))</f>
        <v>3</v>
      </c>
      <c r="C50" s="32">
        <f>E50-F49</f>
        <v>159</v>
      </c>
      <c r="D50" s="32">
        <f>SUMPRODUCT((((YEAR('Парк (SAP)'!$H$11:$H$346)*12+MONTH('Парк (SAP)'!$H$11:$H$346)-1)+$C5)=(YEAR($A50)*12+MONTH($A50)-1))*((($C4="(Все)")+('Парк (SAP)'!$B$11:$B$346=$C4)&gt;0))*((($G4="(Все)")+('Парк (SAP)'!$C$11:$C$346=$G4)&gt;0)))</f>
        <v>7</v>
      </c>
      <c r="E50" s="32">
        <f>SUMPRODUCT(((YEAR('Парк (SAP)'!$H$11:$H$346)*12+MONTH('Парк (SAP)'!$H$11:$H$346)-1)&lt;=(YEAR($A50)*12+MONTH($A50)-1))*((($C4="(Все)")+('Парк (SAP)'!$B$11:$B$346=$C4)&gt;0))*((($G4="(Все)")+('Парк (SAP)'!$C$11:$C$346=$G4)&gt;0)))</f>
        <v>274</v>
      </c>
      <c r="F50" s="32">
        <f>SUMPRODUCT((((YEAR('Парк (SAP)'!$H$11:$H$346)*12+MONTH('Парк (SAP)'!$H$11:$H$346)-1)+$C5)&lt;=(YEAR($A50)*12+MONTH($A50)-1))*((($C4="(Все)")+('Парк (SAP)'!$B$11:$B$346=$C4)&gt;0))*((($G4="(Все)")+('Парк (SAP)'!$C$11:$C$346=$G4)&gt;0)))</f>
        <v>122</v>
      </c>
    </row>
    <row r="51">
      <c r="A51" s="43" t="n">
        <v>46600</v>
      </c>
      <c r="B51" s="32">
        <f>SUMPRODUCT(((YEAR('Парк (SAP)'!$H$11:$H$346)*12+MONTH('Парк (SAP)'!$H$11:$H$346)-1)=(YEAR($A51)*12+MONTH($A51)-1))*((($C4="(Все)")+('Парк (SAP)'!$B$11:$B$346=$C4)&gt;0))*((($G4="(Все)")+('Парк (SAP)'!$C$11:$C$346=$G4)&gt;0)))</f>
        <v>5</v>
      </c>
      <c r="C51" s="32">
        <f>E51-F50</f>
        <v>157</v>
      </c>
      <c r="D51" s="32">
        <f>SUMPRODUCT((((YEAR('Парк (SAP)'!$H$11:$H$346)*12+MONTH('Парк (SAP)'!$H$11:$H$346)-1)+$C5)=(YEAR($A51)*12+MONTH($A51)-1))*((($C4="(Все)")+('Парк (SAP)'!$B$11:$B$346=$C4)&gt;0))*((($G4="(Все)")+('Парк (SAP)'!$C$11:$C$346=$G4)&gt;0)))</f>
        <v>5</v>
      </c>
      <c r="E51" s="32">
        <f>SUMPRODUCT(((YEAR('Парк (SAP)'!$H$11:$H$346)*12+MONTH('Парк (SAP)'!$H$11:$H$346)-1)&lt;=(YEAR($A51)*12+MONTH($A51)-1))*((($C4="(Все)")+('Парк (SAP)'!$B$11:$B$346=$C4)&gt;0))*((($G4="(Все)")+('Парк (SAP)'!$C$11:$C$346=$G4)&gt;0)))</f>
        <v>279</v>
      </c>
      <c r="F51" s="32">
        <f>SUMPRODUCT((((YEAR('Парк (SAP)'!$H$11:$H$346)*12+MONTH('Парк (SAP)'!$H$11:$H$346)-1)+$C5)&lt;=(YEAR($A51)*12+MONTH($A51)-1))*((($C4="(Все)")+('Парк (SAP)'!$B$11:$B$346=$C4)&gt;0))*((($G4="(Все)")+('Парк (SAP)'!$C$11:$C$346=$G4)&gt;0)))</f>
        <v>127</v>
      </c>
    </row>
    <row r="52">
      <c r="A52" s="43" t="n">
        <v>46631</v>
      </c>
      <c r="B52" s="32">
        <f>SUMPRODUCT(((YEAR('Парк (SAP)'!$H$11:$H$346)*12+MONTH('Парк (SAP)'!$H$11:$H$346)-1)=(YEAR($A52)*12+MONTH($A52)-1))*((($C4="(Все)")+('Парк (SAP)'!$B$11:$B$346=$C4)&gt;0))*((($G4="(Все)")+('Парк (SAP)'!$C$11:$C$346=$G4)&gt;0)))</f>
        <v>4</v>
      </c>
      <c r="C52" s="32">
        <f>E52-F51</f>
        <v>156</v>
      </c>
      <c r="D52" s="32">
        <f>SUMPRODUCT((((YEAR('Парк (SAP)'!$H$11:$H$346)*12+MONTH('Парк (SAP)'!$H$11:$H$346)-1)+$C5)=(YEAR($A52)*12+MONTH($A52)-1))*((($C4="(Все)")+('Парк (SAP)'!$B$11:$B$346=$C4)&gt;0))*((($G4="(Все)")+('Парк (SAP)'!$C$11:$C$346=$G4)&gt;0)))</f>
        <v>9</v>
      </c>
      <c r="E52" s="32">
        <f>SUMPRODUCT(((YEAR('Парк (SAP)'!$H$11:$H$346)*12+MONTH('Парк (SAP)'!$H$11:$H$346)-1)&lt;=(YEAR($A52)*12+MONTH($A52)-1))*((($C4="(Все)")+('Парк (SAP)'!$B$11:$B$346=$C4)&gt;0))*((($G4="(Все)")+('Парк (SAP)'!$C$11:$C$346=$G4)&gt;0)))</f>
        <v>283</v>
      </c>
      <c r="F52" s="32">
        <f>SUMPRODUCT((((YEAR('Парк (SAP)'!$H$11:$H$346)*12+MONTH('Парк (SAP)'!$H$11:$H$346)-1)+$C5)&lt;=(YEAR($A52)*12+MONTH($A52)-1))*((($C4="(Все)")+('Парк (SAP)'!$B$11:$B$346=$C4)&gt;0))*((($G4="(Все)")+('Парк (SAP)'!$C$11:$C$346=$G4)&gt;0)))</f>
        <v>136</v>
      </c>
    </row>
    <row r="53">
      <c r="A53" s="43" t="n">
        <v>46661</v>
      </c>
      <c r="B53" s="32">
        <f>SUMPRODUCT(((YEAR('Парк (SAP)'!$H$11:$H$346)*12+MONTH('Парк (SAP)'!$H$11:$H$346)-1)=(YEAR($A53)*12+MONTH($A53)-1))*((($C4="(Все)")+('Парк (SAP)'!$B$11:$B$346=$C4)&gt;0))*((($G4="(Все)")+('Парк (SAP)'!$C$11:$C$346=$G4)&gt;0)))</f>
        <v>4</v>
      </c>
      <c r="C53" s="32">
        <f>E53-F52</f>
        <v>151</v>
      </c>
      <c r="D53" s="32">
        <f>SUMPRODUCT((((YEAR('Парк (SAP)'!$H$11:$H$346)*12+MONTH('Парк (SAP)'!$H$11:$H$346)-1)+$C5)=(YEAR($A53)*12+MONTH($A53)-1))*((($C4="(Все)")+('Парк (SAP)'!$B$11:$B$346=$C4)&gt;0))*((($G4="(Все)")+('Парк (SAP)'!$C$11:$C$346=$G4)&gt;0)))</f>
        <v>8</v>
      </c>
      <c r="E53" s="32">
        <f>SUMPRODUCT(((YEAR('Парк (SAP)'!$H$11:$H$346)*12+MONTH('Парк (SAP)'!$H$11:$H$346)-1)&lt;=(YEAR($A53)*12+MONTH($A53)-1))*((($C4="(Все)")+('Парк (SAP)'!$B$11:$B$346=$C4)&gt;0))*((($G4="(Все)")+('Парк (SAP)'!$C$11:$C$346=$G4)&gt;0)))</f>
        <v>287</v>
      </c>
      <c r="F53" s="32">
        <f>SUMPRODUCT((((YEAR('Парк (SAP)'!$H$11:$H$346)*12+MONTH('Парк (SAP)'!$H$11:$H$346)-1)+$C5)&lt;=(YEAR($A53)*12+MONTH($A53)-1))*((($C4="(Все)")+('Парк (SAP)'!$B$11:$B$346=$C4)&gt;0))*((($G4="(Все)")+('Парк (SAP)'!$C$11:$C$346=$G4)&gt;0)))</f>
        <v>144</v>
      </c>
    </row>
    <row r="54">
      <c r="A54" s="43" t="n">
        <v>46692</v>
      </c>
      <c r="B54" s="32">
        <f>SUMPRODUCT(((YEAR('Парк (SAP)'!$H$11:$H$346)*12+MONTH('Парк (SAP)'!$H$11:$H$346)-1)=(YEAR($A54)*12+MONTH($A54)-1))*((($C4="(Все)")+('Парк (SAP)'!$B$11:$B$346=$C4)&gt;0))*((($G4="(Все)")+('Парк (SAP)'!$C$11:$C$346=$G4)&gt;0)))</f>
        <v>4</v>
      </c>
      <c r="C54" s="32">
        <f>E54-F53</f>
        <v>147</v>
      </c>
      <c r="D54" s="32">
        <f>SUMPRODUCT((((YEAR('Парк (SAP)'!$H$11:$H$346)*12+MONTH('Парк (SAP)'!$H$11:$H$346)-1)+$C5)=(YEAR($A54)*12+MONTH($A54)-1))*((($C4="(Все)")+('Парк (SAP)'!$B$11:$B$346=$C4)&gt;0))*((($G4="(Все)")+('Парк (SAP)'!$C$11:$C$346=$G4)&gt;0)))</f>
        <v>1</v>
      </c>
      <c r="E54" s="32">
        <f>SUMPRODUCT(((YEAR('Парк (SAP)'!$H$11:$H$346)*12+MONTH('Парк (SAP)'!$H$11:$H$346)-1)&lt;=(YEAR($A54)*12+MONTH($A54)-1))*((($C4="(Все)")+('Парк (SAP)'!$B$11:$B$346=$C4)&gt;0))*((($G4="(Все)")+('Парк (SAP)'!$C$11:$C$346=$G4)&gt;0)))</f>
        <v>291</v>
      </c>
      <c r="F54" s="32">
        <f>SUMPRODUCT((((YEAR('Парк (SAP)'!$H$11:$H$346)*12+MONTH('Парк (SAP)'!$H$11:$H$346)-1)+$C5)&lt;=(YEAR($A54)*12+MONTH($A54)-1))*((($C4="(Все)")+('Парк (SAP)'!$B$11:$B$346=$C4)&gt;0))*((($G4="(Все)")+('Парк (SAP)'!$C$11:$C$346=$G4)&gt;0)))</f>
        <v>145</v>
      </c>
    </row>
    <row r="55">
      <c r="A55" s="43" t="n">
        <v>46722</v>
      </c>
      <c r="B55" s="32">
        <f>SUMPRODUCT(((YEAR('Парк (SAP)'!$H$11:$H$346)*12+MONTH('Парк (SAP)'!$H$11:$H$346)-1)=(YEAR($A55)*12+MONTH($A55)-1))*((($C4="(Все)")+('Парк (SAP)'!$B$11:$B$346=$C4)&gt;0))*((($G4="(Все)")+('Парк (SAP)'!$C$11:$C$346=$G4)&gt;0)))</f>
        <v>4</v>
      </c>
      <c r="C55" s="32">
        <f>E55-F54</f>
        <v>150</v>
      </c>
      <c r="D55" s="32">
        <f>SUMPRODUCT((((YEAR('Парк (SAP)'!$H$11:$H$346)*12+MONTH('Парк (SAP)'!$H$11:$H$346)-1)+$C5)=(YEAR($A55)*12+MONTH($A55)-1))*((($C4="(Все)")+('Парк (SAP)'!$B$11:$B$346=$C4)&gt;0))*((($G4="(Все)")+('Парк (SAP)'!$C$11:$C$346=$G4)&gt;0)))</f>
        <v>7</v>
      </c>
      <c r="E55" s="32">
        <f>SUMPRODUCT(((YEAR('Парк (SAP)'!$H$11:$H$346)*12+MONTH('Парк (SAP)'!$H$11:$H$346)-1)&lt;=(YEAR($A55)*12+MONTH($A55)-1))*((($C4="(Все)")+('Парк (SAP)'!$B$11:$B$346=$C4)&gt;0))*((($G4="(Все)")+('Парк (SAP)'!$C$11:$C$346=$G4)&gt;0)))</f>
        <v>295</v>
      </c>
      <c r="F55" s="32">
        <f>SUMPRODUCT((((YEAR('Парк (SAP)'!$H$11:$H$346)*12+MONTH('Парк (SAP)'!$H$11:$H$346)-1)+$C5)&lt;=(YEAR($A55)*12+MONTH($A55)-1))*((($C4="(Все)")+('Парк (SAP)'!$B$11:$B$346=$C4)&gt;0))*((($G4="(Все)")+('Парк (SAP)'!$C$11:$C$346=$G4)&gt;0)))</f>
        <v>152</v>
      </c>
    </row>
    <row r="56">
      <c r="A56" s="43" t="n">
        <v>46753</v>
      </c>
      <c r="B56" s="32">
        <f>SUMPRODUCT(((YEAR('Парк (SAP)'!$H$11:$H$346)*12+MONTH('Парк (SAP)'!$H$11:$H$346)-1)=(YEAR($A56)*12+MONTH($A56)-1))*((($C4="(Все)")+('Парк (SAP)'!$B$11:$B$346=$C4)&gt;0))*((($G4="(Все)")+('Парк (SAP)'!$C$11:$C$346=$G4)&gt;0)))</f>
        <v>3</v>
      </c>
      <c r="C56" s="32">
        <f>E56-F55</f>
        <v>146</v>
      </c>
      <c r="D56" s="32">
        <f>SUMPRODUCT((((YEAR('Парк (SAP)'!$H$11:$H$346)*12+MONTH('Парк (SAP)'!$H$11:$H$346)-1)+$C5)=(YEAR($A56)*12+MONTH($A56)-1))*((($C4="(Все)")+('Парк (SAP)'!$B$11:$B$346=$C4)&gt;0))*((($G4="(Все)")+('Парк (SAP)'!$C$11:$C$346=$G4)&gt;0)))</f>
        <v>6</v>
      </c>
      <c r="E56" s="32">
        <f>SUMPRODUCT(((YEAR('Парк (SAP)'!$H$11:$H$346)*12+MONTH('Парк (SAP)'!$H$11:$H$346)-1)&lt;=(YEAR($A56)*12+MONTH($A56)-1))*((($C4="(Все)")+('Парк (SAP)'!$B$11:$B$346=$C4)&gt;0))*((($G4="(Все)")+('Парк (SAP)'!$C$11:$C$346=$G4)&gt;0)))</f>
        <v>298</v>
      </c>
      <c r="F56" s="32">
        <f>SUMPRODUCT((((YEAR('Парк (SAP)'!$H$11:$H$346)*12+MONTH('Парк (SAP)'!$H$11:$H$346)-1)+$C5)&lt;=(YEAR($A56)*12+MONTH($A56)-1))*((($C4="(Все)")+('Парк (SAP)'!$B$11:$B$346=$C4)&gt;0))*((($G4="(Все)")+('Парк (SAP)'!$C$11:$C$346=$G4)&gt;0)))</f>
        <v>158</v>
      </c>
    </row>
    <row r="57">
      <c r="A57" s="43" t="n">
        <v>46784</v>
      </c>
      <c r="B57" s="32">
        <f>SUMPRODUCT(((YEAR('Парк (SAP)'!$H$11:$H$346)*12+MONTH('Парк (SAP)'!$H$11:$H$346)-1)=(YEAR($A57)*12+MONTH($A57)-1))*((($C4="(Все)")+('Парк (SAP)'!$B$11:$B$346=$C4)&gt;0))*((($G4="(Все)")+('Парк (SAP)'!$C$11:$C$346=$G4)&gt;0)))</f>
        <v>3</v>
      </c>
      <c r="C57" s="32">
        <f>E57-F56</f>
        <v>143</v>
      </c>
      <c r="D57" s="32">
        <f>SUMPRODUCT((((YEAR('Парк (SAP)'!$H$11:$H$346)*12+MONTH('Парк (SAP)'!$H$11:$H$346)-1)+$C5)=(YEAR($A57)*12+MONTH($A57)-1))*((($C4="(Все)")+('Парк (SAP)'!$B$11:$B$346=$C4)&gt;0))*((($G4="(Все)")+('Парк (SAP)'!$C$11:$C$346=$G4)&gt;0)))</f>
        <v>11</v>
      </c>
      <c r="E57" s="32">
        <f>SUMPRODUCT(((YEAR('Парк (SAP)'!$H$11:$H$346)*12+MONTH('Парк (SAP)'!$H$11:$H$346)-1)&lt;=(YEAR($A57)*12+MONTH($A57)-1))*((($C4="(Все)")+('Парк (SAP)'!$B$11:$B$346=$C4)&gt;0))*((($G4="(Все)")+('Парк (SAP)'!$C$11:$C$346=$G4)&gt;0)))</f>
        <v>301</v>
      </c>
      <c r="F57" s="32">
        <f>SUMPRODUCT((((YEAR('Парк (SAP)'!$H$11:$H$346)*12+MONTH('Парк (SAP)'!$H$11:$H$346)-1)+$C5)&lt;=(YEAR($A57)*12+MONTH($A57)-1))*((($C4="(Все)")+('Парк (SAP)'!$B$11:$B$346=$C4)&gt;0))*((($G4="(Все)")+('Парк (SAP)'!$C$11:$C$346=$G4)&gt;0)))</f>
        <v>169</v>
      </c>
    </row>
    <row r="58">
      <c r="A58" s="43" t="n">
        <v>46813</v>
      </c>
      <c r="B58" s="32">
        <f>SUMPRODUCT(((YEAR('Парк (SAP)'!$H$11:$H$346)*12+MONTH('Парк (SAP)'!$H$11:$H$346)-1)=(YEAR($A58)*12+MONTH($A58)-1))*((($C4="(Все)")+('Парк (SAP)'!$B$11:$B$346=$C4)&gt;0))*((($G4="(Все)")+('Парк (SAP)'!$C$11:$C$346=$G4)&gt;0)))</f>
        <v>3</v>
      </c>
      <c r="C58" s="32">
        <f>E58-F57</f>
        <v>135</v>
      </c>
      <c r="D58" s="32">
        <f>SUMPRODUCT((((YEAR('Парк (SAP)'!$H$11:$H$346)*12+MONTH('Парк (SAP)'!$H$11:$H$346)-1)+$C5)=(YEAR($A58)*12+MONTH($A58)-1))*((($C4="(Все)")+('Парк (SAP)'!$B$11:$B$346=$C4)&gt;0))*((($G4="(Все)")+('Парк (SAP)'!$C$11:$C$346=$G4)&gt;0)))</f>
        <v>13</v>
      </c>
      <c r="E58" s="32">
        <f>SUMPRODUCT(((YEAR('Парк (SAP)'!$H$11:$H$346)*12+MONTH('Парк (SAP)'!$H$11:$H$346)-1)&lt;=(YEAR($A58)*12+MONTH($A58)-1))*((($C4="(Все)")+('Парк (SAP)'!$B$11:$B$346=$C4)&gt;0))*((($G4="(Все)")+('Парк (SAP)'!$C$11:$C$346=$G4)&gt;0)))</f>
        <v>304</v>
      </c>
      <c r="F58" s="32">
        <f>SUMPRODUCT((((YEAR('Парк (SAP)'!$H$11:$H$346)*12+MONTH('Парк (SAP)'!$H$11:$H$346)-1)+$C5)&lt;=(YEAR($A58)*12+MONTH($A58)-1))*((($C4="(Все)")+('Парк (SAP)'!$B$11:$B$346=$C4)&gt;0))*((($G4="(Все)")+('Парк (SAP)'!$C$11:$C$346=$G4)&gt;0)))</f>
        <v>182</v>
      </c>
    </row>
    <row r="59">
      <c r="A59" s="43" t="n">
        <v>46844</v>
      </c>
      <c r="B59" s="32">
        <f>SUMPRODUCT(((YEAR('Парк (SAP)'!$H$11:$H$346)*12+MONTH('Парк (SAP)'!$H$11:$H$346)-1)=(YEAR($A59)*12+MONTH($A59)-1))*((($C4="(Все)")+('Парк (SAP)'!$B$11:$B$346=$C4)&gt;0))*((($G4="(Все)")+('Парк (SAP)'!$C$11:$C$346=$G4)&gt;0)))</f>
        <v>4</v>
      </c>
      <c r="C59" s="32">
        <f>E59-F58</f>
        <v>126</v>
      </c>
      <c r="D59" s="32">
        <f>SUMPRODUCT((((YEAR('Парк (SAP)'!$H$11:$H$346)*12+MONTH('Парк (SAP)'!$H$11:$H$346)-1)+$C5)=(YEAR($A59)*12+MONTH($A59)-1))*((($C4="(Все)")+('Парк (SAP)'!$B$11:$B$346=$C4)&gt;0))*((($G4="(Все)")+('Парк (SAP)'!$C$11:$C$346=$G4)&gt;0)))</f>
        <v>9</v>
      </c>
      <c r="E59" s="32">
        <f>SUMPRODUCT(((YEAR('Парк (SAP)'!$H$11:$H$346)*12+MONTH('Парк (SAP)'!$H$11:$H$346)-1)&lt;=(YEAR($A59)*12+MONTH($A59)-1))*((($C4="(Все)")+('Парк (SAP)'!$B$11:$B$346=$C4)&gt;0))*((($G4="(Все)")+('Парк (SAP)'!$C$11:$C$346=$G4)&gt;0)))</f>
        <v>308</v>
      </c>
      <c r="F59" s="32">
        <f>SUMPRODUCT((((YEAR('Парк (SAP)'!$H$11:$H$346)*12+MONTH('Парк (SAP)'!$H$11:$H$346)-1)+$C5)&lt;=(YEAR($A59)*12+MONTH($A59)-1))*((($C4="(Все)")+('Парк (SAP)'!$B$11:$B$346=$C4)&gt;0))*((($G4="(Все)")+('Парк (SAP)'!$C$11:$C$346=$G4)&gt;0)))</f>
        <v>191</v>
      </c>
    </row>
    <row r="60">
      <c r="A60" s="43" t="n">
        <v>46874</v>
      </c>
      <c r="B60" s="32">
        <f>SUMPRODUCT(((YEAR('Парк (SAP)'!$H$11:$H$346)*12+MONTH('Парк (SAP)'!$H$11:$H$346)-1)=(YEAR($A60)*12+MONTH($A60)-1))*((($C4="(Все)")+('Парк (SAP)'!$B$11:$B$346=$C4)&gt;0))*((($G4="(Все)")+('Парк (SAP)'!$C$11:$C$346=$G4)&gt;0)))</f>
        <v>4</v>
      </c>
      <c r="C60" s="32">
        <f>E60-F59</f>
        <v>121</v>
      </c>
      <c r="D60" s="32">
        <f>SUMPRODUCT((((YEAR('Парк (SAP)'!$H$11:$H$346)*12+MONTH('Парк (SAP)'!$H$11:$H$346)-1)+$C5)=(YEAR($A60)*12+MONTH($A60)-1))*((($C4="(Все)")+('Парк (SAP)'!$B$11:$B$346=$C4)&gt;0))*((($G4="(Все)")+('Парк (SAP)'!$C$11:$C$346=$G4)&gt;0)))</f>
        <v>5</v>
      </c>
      <c r="E60" s="32">
        <f>SUMPRODUCT(((YEAR('Парк (SAP)'!$H$11:$H$346)*12+MONTH('Парк (SAP)'!$H$11:$H$346)-1)&lt;=(YEAR($A60)*12+MONTH($A60)-1))*((($C4="(Все)")+('Парк (SAP)'!$B$11:$B$346=$C4)&gt;0))*((($G4="(Все)")+('Парк (SAP)'!$C$11:$C$346=$G4)&gt;0)))</f>
        <v>312</v>
      </c>
      <c r="F60" s="32">
        <f>SUMPRODUCT((((YEAR('Парк (SAP)'!$H$11:$H$346)*12+MONTH('Парк (SAP)'!$H$11:$H$346)-1)+$C5)&lt;=(YEAR($A60)*12+MONTH($A60)-1))*((($C4="(Все)")+('Парк (SAP)'!$B$11:$B$346=$C4)&gt;0))*((($G4="(Все)")+('Парк (SAP)'!$C$11:$C$346=$G4)&gt;0)))</f>
        <v>196</v>
      </c>
    </row>
    <row r="61">
      <c r="A61" s="43" t="n">
        <v>46905</v>
      </c>
      <c r="B61" s="32">
        <f>SUMPRODUCT(((YEAR('Парк (SAP)'!$H$11:$H$346)*12+MONTH('Парк (SAP)'!$H$11:$H$346)-1)=(YEAR($A61)*12+MONTH($A61)-1))*((($C4="(Все)")+('Парк (SAP)'!$B$11:$B$346=$C4)&gt;0))*((($G4="(Все)")+('Парк (SAP)'!$C$11:$C$346=$G4)&gt;0)))</f>
        <v>4</v>
      </c>
      <c r="C61" s="32">
        <f>E61-F60</f>
        <v>120</v>
      </c>
      <c r="D61" s="32">
        <f>SUMPRODUCT((((YEAR('Парк (SAP)'!$H$11:$H$346)*12+MONTH('Парк (SAP)'!$H$11:$H$346)-1)+$C5)=(YEAR($A61)*12+MONTH($A61)-1))*((($C4="(Все)")+('Парк (SAP)'!$B$11:$B$346=$C4)&gt;0))*((($G4="(Все)")+('Парк (SAP)'!$C$11:$C$346=$G4)&gt;0)))</f>
        <v>6</v>
      </c>
      <c r="E61" s="32">
        <f>SUMPRODUCT(((YEAR('Парк (SAP)'!$H$11:$H$346)*12+MONTH('Парк (SAP)'!$H$11:$H$346)-1)&lt;=(YEAR($A61)*12+MONTH($A61)-1))*((($C4="(Все)")+('Парк (SAP)'!$B$11:$B$346=$C4)&gt;0))*((($G4="(Все)")+('Парк (SAP)'!$C$11:$C$346=$G4)&gt;0)))</f>
        <v>316</v>
      </c>
      <c r="F61" s="32">
        <f>SUMPRODUCT((((YEAR('Парк (SAP)'!$H$11:$H$346)*12+MONTH('Парк (SAP)'!$H$11:$H$346)-1)+$C5)&lt;=(YEAR($A61)*12+MONTH($A61)-1))*((($C4="(Все)")+('Парк (SAP)'!$B$11:$B$346=$C4)&gt;0))*((($G4="(Все)")+('Парк (SAP)'!$C$11:$C$346=$G4)&gt;0)))</f>
        <v>202</v>
      </c>
    </row>
    <row r="62">
      <c r="A62" s="43" t="n">
        <v>46935</v>
      </c>
      <c r="B62" s="32">
        <f>SUMPRODUCT(((YEAR('Парк (SAP)'!$H$11:$H$346)*12+MONTH('Парк (SAP)'!$H$11:$H$346)-1)=(YEAR($A62)*12+MONTH($A62)-1))*((($C4="(Все)")+('Парк (SAP)'!$B$11:$B$346=$C4)&gt;0))*((($G4="(Все)")+('Парк (SAP)'!$C$11:$C$346=$G4)&gt;0)))</f>
        <v>3</v>
      </c>
      <c r="C62" s="32">
        <f>E62-F61</f>
        <v>117</v>
      </c>
      <c r="D62" s="32">
        <f>SUMPRODUCT((((YEAR('Парк (SAP)'!$H$11:$H$346)*12+MONTH('Парк (SAP)'!$H$11:$H$346)-1)+$C5)=(YEAR($A62)*12+MONTH($A62)-1))*((($C4="(Все)")+('Парк (SAP)'!$B$11:$B$346=$C4)&gt;0))*((($G4="(Все)")+('Парк (SAP)'!$C$11:$C$346=$G4)&gt;0)))</f>
        <v>2</v>
      </c>
      <c r="E62" s="32">
        <f>SUMPRODUCT(((YEAR('Парк (SAP)'!$H$11:$H$346)*12+MONTH('Парк (SAP)'!$H$11:$H$346)-1)&lt;=(YEAR($A62)*12+MONTH($A62)-1))*((($C4="(Все)")+('Парк (SAP)'!$B$11:$B$346=$C4)&gt;0))*((($G4="(Все)")+('Парк (SAP)'!$C$11:$C$346=$G4)&gt;0)))</f>
        <v>319</v>
      </c>
      <c r="F62" s="32">
        <f>SUMPRODUCT((((YEAR('Парк (SAP)'!$H$11:$H$346)*12+MONTH('Парк (SAP)'!$H$11:$H$346)-1)+$C5)&lt;=(YEAR($A62)*12+MONTH($A62)-1))*((($C4="(Все)")+('Парк (SAP)'!$B$11:$B$346=$C4)&gt;0))*((($G4="(Все)")+('Парк (SAP)'!$C$11:$C$346=$G4)&gt;0)))</f>
        <v>204</v>
      </c>
    </row>
    <row r="63">
      <c r="A63" s="43" t="n">
        <v>46966</v>
      </c>
      <c r="B63" s="32">
        <f>SUMPRODUCT(((YEAR('Парк (SAP)'!$H$11:$H$346)*12+MONTH('Парк (SAP)'!$H$11:$H$346)-1)=(YEAR($A63)*12+MONTH($A63)-1))*((($C4="(Все)")+('Парк (SAP)'!$B$11:$B$346=$C4)&gt;0))*((($G4="(Все)")+('Парк (SAP)'!$C$11:$C$346=$G4)&gt;0)))</f>
        <v>1</v>
      </c>
      <c r="C63" s="32">
        <f>E63-F62</f>
        <v>116</v>
      </c>
      <c r="D63" s="32">
        <f>SUMPRODUCT((((YEAR('Парк (SAP)'!$H$11:$H$346)*12+MONTH('Парк (SAP)'!$H$11:$H$346)-1)+$C5)=(YEAR($A63)*12+MONTH($A63)-1))*((($C4="(Все)")+('Парк (SAP)'!$B$11:$B$346=$C4)&gt;0))*((($G4="(Все)")+('Парк (SAP)'!$C$11:$C$346=$G4)&gt;0)))</f>
        <v>0</v>
      </c>
      <c r="E63" s="32">
        <f>SUMPRODUCT(((YEAR('Парк (SAP)'!$H$11:$H$346)*12+MONTH('Парк (SAP)'!$H$11:$H$346)-1)&lt;=(YEAR($A63)*12+MONTH($A63)-1))*((($C4="(Все)")+('Парк (SAP)'!$B$11:$B$346=$C4)&gt;0))*((($G4="(Все)")+('Парк (SAP)'!$C$11:$C$346=$G4)&gt;0)))</f>
        <v>320</v>
      </c>
      <c r="F63" s="32">
        <f>SUMPRODUCT((((YEAR('Парк (SAP)'!$H$11:$H$346)*12+MONTH('Парк (SAP)'!$H$11:$H$346)-1)+$C5)&lt;=(YEAR($A63)*12+MONTH($A63)-1))*((($C4="(Все)")+('Парк (SAP)'!$B$11:$B$346=$C4)&gt;0))*((($G4="(Все)")+('Парк (SAP)'!$C$11:$C$346=$G4)&gt;0)))</f>
        <v>204</v>
      </c>
    </row>
    <row r="64">
      <c r="A64" s="43" t="n">
        <v>46997</v>
      </c>
      <c r="B64" s="32">
        <f>SUMPRODUCT(((YEAR('Парк (SAP)'!$H$11:$H$346)*12+MONTH('Парк (SAP)'!$H$11:$H$346)-1)=(YEAR($A64)*12+MONTH($A64)-1))*((($C4="(Все)")+('Парк (SAP)'!$B$11:$B$346=$C4)&gt;0))*((($G4="(Все)")+('Парк (SAP)'!$C$11:$C$346=$G4)&gt;0)))</f>
        <v>1</v>
      </c>
      <c r="C64" s="32">
        <f>E64-F63</f>
        <v>117</v>
      </c>
      <c r="D64" s="32">
        <f>SUMPRODUCT((((YEAR('Парк (SAP)'!$H$11:$H$346)*12+MONTH('Парк (SAP)'!$H$11:$H$346)-1)+$C5)=(YEAR($A64)*12+MONTH($A64)-1))*((($C4="(Все)")+('Парк (SAP)'!$B$11:$B$346=$C4)&gt;0))*((($G4="(Все)")+('Парк (SAP)'!$C$11:$C$346=$G4)&gt;0)))</f>
        <v>5</v>
      </c>
      <c r="E64" s="32">
        <f>SUMPRODUCT(((YEAR('Парк (SAP)'!$H$11:$H$346)*12+MONTH('Парк (SAP)'!$H$11:$H$346)-1)&lt;=(YEAR($A64)*12+MONTH($A64)-1))*((($C4="(Все)")+('Парк (SAP)'!$B$11:$B$346=$C4)&gt;0))*((($G4="(Все)")+('Парк (SAP)'!$C$11:$C$346=$G4)&gt;0)))</f>
        <v>321</v>
      </c>
      <c r="F64" s="32">
        <f>SUMPRODUCT((((YEAR('Парк (SAP)'!$H$11:$H$346)*12+MONTH('Парк (SAP)'!$H$11:$H$346)-1)+$C5)&lt;=(YEAR($A64)*12+MONTH($A64)-1))*((($C4="(Все)")+('Парк (SAP)'!$B$11:$B$346=$C4)&gt;0))*((($G4="(Все)")+('Парк (SAP)'!$C$11:$C$346=$G4)&gt;0)))</f>
        <v>209</v>
      </c>
    </row>
    <row r="65">
      <c r="A65" s="43" t="n">
        <v>47027</v>
      </c>
      <c r="B65" s="32">
        <f>SUMPRODUCT(((YEAR('Парк (SAP)'!$H$11:$H$346)*12+MONTH('Парк (SAP)'!$H$11:$H$346)-1)=(YEAR($A65)*12+MONTH($A65)-1))*((($C4="(Все)")+('Парк (SAP)'!$B$11:$B$346=$C4)&gt;0))*((($G4="(Все)")+('Парк (SAP)'!$C$11:$C$346=$G4)&gt;0)))</f>
        <v>4</v>
      </c>
      <c r="C65" s="32">
        <f>E65-F64</f>
        <v>116</v>
      </c>
      <c r="D65" s="32">
        <f>SUMPRODUCT((((YEAR('Парк (SAP)'!$H$11:$H$346)*12+MONTH('Парк (SAP)'!$H$11:$H$346)-1)+$C5)=(YEAR($A65)*12+MONTH($A65)-1))*((($C4="(Все)")+('Парк (SAP)'!$B$11:$B$346=$C4)&gt;0))*((($G4="(Все)")+('Парк (SAP)'!$C$11:$C$346=$G4)&gt;0)))</f>
        <v>9</v>
      </c>
      <c r="E65" s="32">
        <f>SUMPRODUCT(((YEAR('Парк (SAP)'!$H$11:$H$346)*12+MONTH('Парк (SAP)'!$H$11:$H$346)-1)&lt;=(YEAR($A65)*12+MONTH($A65)-1))*((($C4="(Все)")+('Парк (SAP)'!$B$11:$B$346=$C4)&gt;0))*((($G4="(Все)")+('Парк (SAP)'!$C$11:$C$346=$G4)&gt;0)))</f>
        <v>325</v>
      </c>
      <c r="F65" s="32">
        <f>SUMPRODUCT((((YEAR('Парк (SAP)'!$H$11:$H$346)*12+MONTH('Парк (SAP)'!$H$11:$H$346)-1)+$C5)&lt;=(YEAR($A65)*12+MONTH($A65)-1))*((($C4="(Все)")+('Парк (SAP)'!$B$11:$B$346=$C4)&gt;0))*((($G4="(Все)")+('Парк (SAP)'!$C$11:$C$346=$G4)&gt;0)))</f>
        <v>218</v>
      </c>
    </row>
    <row r="66">
      <c r="A66" s="43" t="n">
        <v>47058</v>
      </c>
      <c r="B66" s="32">
        <f>SUMPRODUCT(((YEAR('Парк (SAP)'!$H$11:$H$346)*12+MONTH('Парк (SAP)'!$H$11:$H$346)-1)=(YEAR($A66)*12+MONTH($A66)-1))*((($C4="(Все)")+('Парк (SAP)'!$B$11:$B$346=$C4)&gt;0))*((($G4="(Все)")+('Парк (SAP)'!$C$11:$C$346=$G4)&gt;0)))</f>
        <v>4</v>
      </c>
      <c r="C66" s="32">
        <f>E66-F65</f>
        <v>111</v>
      </c>
      <c r="D66" s="32">
        <f>SUMPRODUCT((((YEAR('Парк (SAP)'!$H$11:$H$346)*12+MONTH('Парк (SAP)'!$H$11:$H$346)-1)+$C5)=(YEAR($A66)*12+MONTH($A66)-1))*((($C4="(Все)")+('Парк (SAP)'!$B$11:$B$346=$C4)&gt;0))*((($G4="(Все)")+('Парк (SAP)'!$C$11:$C$346=$G4)&gt;0)))</f>
        <v>13</v>
      </c>
      <c r="E66" s="32">
        <f>SUMPRODUCT(((YEAR('Парк (SAP)'!$H$11:$H$346)*12+MONTH('Парк (SAP)'!$H$11:$H$346)-1)&lt;=(YEAR($A66)*12+MONTH($A66)-1))*((($C4="(Все)")+('Парк (SAP)'!$B$11:$B$346=$C4)&gt;0))*((($G4="(Все)")+('Парк (SAP)'!$C$11:$C$346=$G4)&gt;0)))</f>
        <v>329</v>
      </c>
      <c r="F66" s="32">
        <f>SUMPRODUCT((((YEAR('Парк (SAP)'!$H$11:$H$346)*12+MONTH('Парк (SAP)'!$H$11:$H$346)-1)+$C5)&lt;=(YEAR($A66)*12+MONTH($A66)-1))*((($C4="(Все)")+('Парк (SAP)'!$B$11:$B$346=$C4)&gt;0))*((($G4="(Все)")+('Парк (SAP)'!$C$11:$C$346=$G4)&gt;0)))</f>
        <v>231</v>
      </c>
    </row>
    <row r="67">
      <c r="A67" s="43" t="n">
        <v>47088</v>
      </c>
      <c r="B67" s="32">
        <f>SUMPRODUCT(((YEAR('Парк (SAP)'!$H$11:$H$346)*12+MONTH('Парк (SAP)'!$H$11:$H$346)-1)=(YEAR($A67)*12+MONTH($A67)-1))*((($C4="(Все)")+('Парк (SAP)'!$B$11:$B$346=$C4)&gt;0))*((($G4="(Все)")+('Парк (SAP)'!$C$11:$C$346=$G4)&gt;0)))</f>
        <v>4</v>
      </c>
      <c r="C67" s="32">
        <f>E67-F66</f>
        <v>102</v>
      </c>
      <c r="D67" s="32">
        <f>SUMPRODUCT((((YEAR('Парк (SAP)'!$H$11:$H$346)*12+MONTH('Парк (SAP)'!$H$11:$H$346)-1)+$C5)=(YEAR($A67)*12+MONTH($A67)-1))*((($C4="(Все)")+('Парк (SAP)'!$B$11:$B$346=$C4)&gt;0))*((($G4="(Все)")+('Парк (SAP)'!$C$11:$C$346=$G4)&gt;0)))</f>
        <v>6</v>
      </c>
      <c r="E67" s="32">
        <f>SUMPRODUCT(((YEAR('Парк (SAP)'!$H$11:$H$346)*12+MONTH('Парк (SAP)'!$H$11:$H$346)-1)&lt;=(YEAR($A67)*12+MONTH($A67)-1))*((($C4="(Все)")+('Парк (SAP)'!$B$11:$B$346=$C4)&gt;0))*((($G4="(Все)")+('Парк (SAP)'!$C$11:$C$346=$G4)&gt;0)))</f>
        <v>333</v>
      </c>
      <c r="F67" s="32">
        <f>SUMPRODUCT((((YEAR('Парк (SAP)'!$H$11:$H$346)*12+MONTH('Парк (SAP)'!$H$11:$H$346)-1)+$C5)&lt;=(YEAR($A67)*12+MONTH($A67)-1))*((($C4="(Все)")+('Парк (SAP)'!$B$11:$B$346=$C4)&gt;0))*((($G4="(Все)")+('Парк (SAP)'!$C$11:$C$346=$G4)&gt;0)))</f>
        <v>237</v>
      </c>
    </row>
    <row r="68">
      <c r="A68" s="43" t="n">
        <v>47119</v>
      </c>
      <c r="B68" s="32">
        <f>SUMPRODUCT(((YEAR('Парк (SAP)'!$H$11:$H$346)*12+MONTH('Парк (SAP)'!$H$11:$H$346)-1)=(YEAR($A68)*12+MONTH($A68)-1))*((($C4="(Все)")+('Парк (SAP)'!$B$11:$B$346=$C4)&gt;0))*((($G4="(Все)")+('Парк (SAP)'!$C$11:$C$346=$G4)&gt;0)))</f>
        <v>3</v>
      </c>
      <c r="C68" s="32">
        <f>E68-F67</f>
        <v>99</v>
      </c>
      <c r="D68" s="32">
        <f>SUMPRODUCT((((YEAR('Парк (SAP)'!$H$11:$H$346)*12+MONTH('Парк (SAP)'!$H$11:$H$346)-1)+$C5)=(YEAR($A68)*12+MONTH($A68)-1))*((($C4="(Все)")+('Парк (SAP)'!$B$11:$B$346=$C4)&gt;0))*((($G4="(Все)")+('Парк (SAP)'!$C$11:$C$346=$G4)&gt;0)))</f>
        <v>8</v>
      </c>
      <c r="E68" s="32">
        <f>SUMPRODUCT(((YEAR('Парк (SAP)'!$H$11:$H$346)*12+MONTH('Парк (SAP)'!$H$11:$H$346)-1)&lt;=(YEAR($A68)*12+MONTH($A68)-1))*((($C4="(Все)")+('Парк (SAP)'!$B$11:$B$346=$C4)&gt;0))*((($G4="(Все)")+('Парк (SAP)'!$C$11:$C$346=$G4)&gt;0)))</f>
        <v>336</v>
      </c>
      <c r="F68" s="32">
        <f>SUMPRODUCT((((YEAR('Парк (SAP)'!$H$11:$H$346)*12+MONTH('Парк (SAP)'!$H$11:$H$346)-1)+$C5)&lt;=(YEAR($A68)*12+MONTH($A68)-1))*((($C4="(Все)")+('Парк (SAP)'!$B$11:$B$346=$C4)&gt;0))*((($G4="(Все)")+('Парк (SAP)'!$C$11:$C$346=$G4)&gt;0)))</f>
        <v>245</v>
      </c>
    </row>
    <row r="69">
      <c r="A69" s="43" t="n">
        <v>47150</v>
      </c>
      <c r="B69" s="32">
        <f>SUMPRODUCT(((YEAR('Парк (SAP)'!$H$11:$H$346)*12+MONTH('Парк (SAP)'!$H$11:$H$346)-1)=(YEAR($A69)*12+MONTH($A69)-1))*((($C4="(Все)")+('Парк (SAP)'!$B$11:$B$346=$C4)&gt;0))*((($G4="(Все)")+('Парк (SAP)'!$C$11:$C$346=$G4)&gt;0)))</f>
        <v>0</v>
      </c>
      <c r="C69" s="32">
        <f>E69-F68</f>
        <v>91</v>
      </c>
      <c r="D69" s="32">
        <f>SUMPRODUCT((((YEAR('Парк (SAP)'!$H$11:$H$346)*12+MONTH('Парк (SAP)'!$H$11:$H$346)-1)+$C5)=(YEAR($A69)*12+MONTH($A69)-1))*((($C4="(Все)")+('Парк (SAP)'!$B$11:$B$346=$C4)&gt;0))*((($G4="(Все)")+('Парк (SAP)'!$C$11:$C$346=$G4)&gt;0)))</f>
        <v>7</v>
      </c>
      <c r="E69" s="32">
        <f>SUMPRODUCT(((YEAR('Парк (SAP)'!$H$11:$H$346)*12+MONTH('Парк (SAP)'!$H$11:$H$346)-1)&lt;=(YEAR($A69)*12+MONTH($A69)-1))*((($C4="(Все)")+('Парк (SAP)'!$B$11:$B$346=$C4)&gt;0))*((($G4="(Все)")+('Парк (SAP)'!$C$11:$C$346=$G4)&gt;0)))</f>
        <v>336</v>
      </c>
      <c r="F69" s="32">
        <f>SUMPRODUCT((((YEAR('Парк (SAP)'!$H$11:$H$346)*12+MONTH('Парк (SAP)'!$H$11:$H$346)-1)+$C5)&lt;=(YEAR($A69)*12+MONTH($A69)-1))*((($C4="(Все)")+('Парк (SAP)'!$B$11:$B$346=$C4)&gt;0))*((($G4="(Все)")+('Парк (SAP)'!$C$11:$C$346=$G4)&gt;0)))</f>
        <v>252</v>
      </c>
    </row>
    <row r="70">
      <c r="A70" s="43" t="n">
        <v>47178</v>
      </c>
      <c r="B70" s="32">
        <f>SUMPRODUCT(((YEAR('Парк (SAP)'!$H$11:$H$346)*12+MONTH('Парк (SAP)'!$H$11:$H$346)-1)=(YEAR($A70)*12+MONTH($A70)-1))*((($C4="(Все)")+('Парк (SAP)'!$B$11:$B$346=$C4)&gt;0))*((($G4="(Все)")+('Парк (SAP)'!$C$11:$C$346=$G4)&gt;0)))</f>
        <v>0</v>
      </c>
      <c r="C70" s="32">
        <f>E70-F69</f>
        <v>84</v>
      </c>
      <c r="D70" s="32">
        <f>SUMPRODUCT((((YEAR('Парк (SAP)'!$H$11:$H$346)*12+MONTH('Парк (SAP)'!$H$11:$H$346)-1)+$C5)=(YEAR($A70)*12+MONTH($A70)-1))*((($C4="(Все)")+('Парк (SAP)'!$B$11:$B$346=$C4)&gt;0))*((($G4="(Все)")+('Парк (SAP)'!$C$11:$C$346=$G4)&gt;0)))</f>
        <v>0</v>
      </c>
      <c r="E70" s="32">
        <f>SUMPRODUCT(((YEAR('Парк (SAP)'!$H$11:$H$346)*12+MONTH('Парк (SAP)'!$H$11:$H$346)-1)&lt;=(YEAR($A70)*12+MONTH($A70)-1))*((($C4="(Все)")+('Парк (SAP)'!$B$11:$B$346=$C4)&gt;0))*((($G4="(Все)")+('Парк (SAP)'!$C$11:$C$346=$G4)&gt;0)))</f>
        <v>336</v>
      </c>
      <c r="F70" s="32">
        <f>SUMPRODUCT((((YEAR('Парк (SAP)'!$H$11:$H$346)*12+MONTH('Парк (SAP)'!$H$11:$H$346)-1)+$C5)&lt;=(YEAR($A70)*12+MONTH($A70)-1))*((($C4="(Все)")+('Парк (SAP)'!$B$11:$B$346=$C4)&gt;0))*((($G4="(Все)")+('Парк (SAP)'!$C$11:$C$346=$G4)&gt;0)))</f>
        <v>252</v>
      </c>
    </row>
    <row r="71">
      <c r="A71" s="43" t="n">
        <v>47209</v>
      </c>
      <c r="B71" s="32">
        <f>SUMPRODUCT(((YEAR('Парк (SAP)'!$H$11:$H$346)*12+MONTH('Парк (SAP)'!$H$11:$H$346)-1)=(YEAR($A71)*12+MONTH($A71)-1))*((($C4="(Все)")+('Парк (SAP)'!$B$11:$B$346=$C4)&gt;0))*((($G4="(Все)")+('Парк (SAP)'!$C$11:$C$346=$G4)&gt;0)))</f>
        <v>0</v>
      </c>
      <c r="C71" s="32">
        <f>E71-F70</f>
        <v>84</v>
      </c>
      <c r="D71" s="32">
        <f>SUMPRODUCT((((YEAR('Парк (SAP)'!$H$11:$H$346)*12+MONTH('Парк (SAP)'!$H$11:$H$346)-1)+$C5)=(YEAR($A71)*12+MONTH($A71)-1))*((($C4="(Все)")+('Парк (SAP)'!$B$11:$B$346=$C4)&gt;0))*((($G4="(Все)")+('Парк (SAP)'!$C$11:$C$346=$G4)&gt;0)))</f>
        <v>8</v>
      </c>
      <c r="E71" s="32">
        <f>SUMPRODUCT(((YEAR('Парк (SAP)'!$H$11:$H$346)*12+MONTH('Парк (SAP)'!$H$11:$H$346)-1)&lt;=(YEAR($A71)*12+MONTH($A71)-1))*((($C4="(Все)")+('Парк (SAP)'!$B$11:$B$346=$C4)&gt;0))*((($G4="(Все)")+('Парк (SAP)'!$C$11:$C$346=$G4)&gt;0)))</f>
        <v>336</v>
      </c>
      <c r="F71" s="32">
        <f>SUMPRODUCT((((YEAR('Парк (SAP)'!$H$11:$H$346)*12+MONTH('Парк (SAP)'!$H$11:$H$346)-1)+$C5)&lt;=(YEAR($A71)*12+MONTH($A71)-1))*((($C4="(Все)")+('Парк (SAP)'!$B$11:$B$346=$C4)&gt;0))*((($G4="(Все)")+('Парк (SAP)'!$C$11:$C$346=$G4)&gt;0)))</f>
        <v>260</v>
      </c>
    </row>
    <row r="72">
      <c r="A72" s="43" t="n">
        <v>47239</v>
      </c>
      <c r="B72" s="32">
        <f>SUMPRODUCT(((YEAR('Парк (SAP)'!$H$11:$H$346)*12+MONTH('Парк (SAP)'!$H$11:$H$346)-1)=(YEAR($A72)*12+MONTH($A72)-1))*((($C4="(Все)")+('Парк (SAP)'!$B$11:$B$346=$C4)&gt;0))*((($G4="(Все)")+('Парк (SAP)'!$C$11:$C$346=$G4)&gt;0)))</f>
        <v>0</v>
      </c>
      <c r="C72" s="32">
        <f>E72-F71</f>
        <v>76</v>
      </c>
      <c r="D72" s="32">
        <f>SUMPRODUCT((((YEAR('Парк (SAP)'!$H$11:$H$346)*12+MONTH('Парк (SAP)'!$H$11:$H$346)-1)+$C5)=(YEAR($A72)*12+MONTH($A72)-1))*((($C4="(Все)")+('Парк (SAP)'!$B$11:$B$346=$C4)&gt;0))*((($G4="(Все)")+('Парк (SAP)'!$C$11:$C$346=$G4)&gt;0)))</f>
        <v>7</v>
      </c>
      <c r="E72" s="32">
        <f>SUMPRODUCT(((YEAR('Парк (SAP)'!$H$11:$H$346)*12+MONTH('Парк (SAP)'!$H$11:$H$346)-1)&lt;=(YEAR($A72)*12+MONTH($A72)-1))*((($C4="(Все)")+('Парк (SAP)'!$B$11:$B$346=$C4)&gt;0))*((($G4="(Все)")+('Парк (SAP)'!$C$11:$C$346=$G4)&gt;0)))</f>
        <v>336</v>
      </c>
      <c r="F72" s="32">
        <f>SUMPRODUCT((((YEAR('Парк (SAP)'!$H$11:$H$346)*12+MONTH('Парк (SAP)'!$H$11:$H$346)-1)+$C5)&lt;=(YEAR($A72)*12+MONTH($A72)-1))*((($C4="(Все)")+('Парк (SAP)'!$B$11:$B$346=$C4)&gt;0))*((($G4="(Все)")+('Парк (SAP)'!$C$11:$C$346=$G4)&gt;0)))</f>
        <v>267</v>
      </c>
    </row>
    <row r="73">
      <c r="A73" s="43" t="n">
        <v>47270</v>
      </c>
      <c r="B73" s="32">
        <f>SUMPRODUCT(((YEAR('Парк (SAP)'!$H$11:$H$346)*12+MONTH('Парк (SAP)'!$H$11:$H$346)-1)=(YEAR($A73)*12+MONTH($A73)-1))*((($C4="(Все)")+('Парк (SAP)'!$B$11:$B$346=$C4)&gt;0))*((($G4="(Все)")+('Парк (SAP)'!$C$11:$C$346=$G4)&gt;0)))</f>
        <v>0</v>
      </c>
      <c r="C73" s="32">
        <f>E73-F72</f>
        <v>69</v>
      </c>
      <c r="D73" s="32">
        <f>SUMPRODUCT((((YEAR('Парк (SAP)'!$H$11:$H$346)*12+MONTH('Парк (SAP)'!$H$11:$H$346)-1)+$C5)=(YEAR($A73)*12+MONTH($A73)-1))*((($C4="(Все)")+('Парк (SAP)'!$B$11:$B$346=$C4)&gt;0))*((($G4="(Все)")+('Парк (SAP)'!$C$11:$C$346=$G4)&gt;0)))</f>
        <v>4</v>
      </c>
      <c r="E73" s="32">
        <f>SUMPRODUCT(((YEAR('Парк (SAP)'!$H$11:$H$346)*12+MONTH('Парк (SAP)'!$H$11:$H$346)-1)&lt;=(YEAR($A73)*12+MONTH($A73)-1))*((($C4="(Все)")+('Парк (SAP)'!$B$11:$B$346=$C4)&gt;0))*((($G4="(Все)")+('Парк (SAP)'!$C$11:$C$346=$G4)&gt;0)))</f>
        <v>336</v>
      </c>
      <c r="F73" s="32">
        <f>SUMPRODUCT((((YEAR('Парк (SAP)'!$H$11:$H$346)*12+MONTH('Парк (SAP)'!$H$11:$H$346)-1)+$C5)&lt;=(YEAR($A73)*12+MONTH($A73)-1))*((($C4="(Все)")+('Парк (SAP)'!$B$11:$B$346=$C4)&gt;0))*((($G4="(Все)")+('Парк (SAP)'!$C$11:$C$346=$G4)&gt;0)))</f>
        <v>271</v>
      </c>
    </row>
    <row r="74">
      <c r="A74" s="43" t="n">
        <v>47300</v>
      </c>
      <c r="B74" s="32">
        <f>SUMPRODUCT(((YEAR('Парк (SAP)'!$H$11:$H$346)*12+MONTH('Парк (SAP)'!$H$11:$H$346)-1)=(YEAR($A74)*12+MONTH($A74)-1))*((($C4="(Все)")+('Парк (SAP)'!$B$11:$B$346=$C4)&gt;0))*((($G4="(Все)")+('Парк (SAP)'!$C$11:$C$346=$G4)&gt;0)))</f>
        <v>0</v>
      </c>
      <c r="C74" s="32">
        <f>E74-F73</f>
        <v>65</v>
      </c>
      <c r="D74" s="32">
        <f>SUMPRODUCT((((YEAR('Парк (SAP)'!$H$11:$H$346)*12+MONTH('Парк (SAP)'!$H$11:$H$346)-1)+$C5)=(YEAR($A74)*12+MONTH($A74)-1))*((($C4="(Все)")+('Парк (SAP)'!$B$11:$B$346=$C4)&gt;0))*((($G4="(Все)")+('Парк (SAP)'!$C$11:$C$346=$G4)&gt;0)))</f>
        <v>3</v>
      </c>
      <c r="E74" s="32">
        <f>SUMPRODUCT(((YEAR('Парк (SAP)'!$H$11:$H$346)*12+MONTH('Парк (SAP)'!$H$11:$H$346)-1)&lt;=(YEAR($A74)*12+MONTH($A74)-1))*((($C4="(Все)")+('Парк (SAP)'!$B$11:$B$346=$C4)&gt;0))*((($G4="(Все)")+('Парк (SAP)'!$C$11:$C$346=$G4)&gt;0)))</f>
        <v>336</v>
      </c>
      <c r="F74" s="32">
        <f>SUMPRODUCT((((YEAR('Парк (SAP)'!$H$11:$H$346)*12+MONTH('Парк (SAP)'!$H$11:$H$346)-1)+$C5)&lt;=(YEAR($A74)*12+MONTH($A74)-1))*((($C4="(Все)")+('Парк (SAP)'!$B$11:$B$346=$C4)&gt;0))*((($G4="(Все)")+('Парк (SAP)'!$C$11:$C$346=$G4)&gt;0)))</f>
        <v>274</v>
      </c>
    </row>
    <row r="75">
      <c r="A75" s="43" t="n">
        <v>47331</v>
      </c>
      <c r="B75" s="32">
        <f>SUMPRODUCT(((YEAR('Парк (SAP)'!$H$11:$H$346)*12+MONTH('Парк (SAP)'!$H$11:$H$346)-1)=(YEAR($A75)*12+MONTH($A75)-1))*((($C4="(Все)")+('Парк (SAP)'!$B$11:$B$346=$C4)&gt;0))*((($G4="(Все)")+('Парк (SAP)'!$C$11:$C$346=$G4)&gt;0)))</f>
        <v>0</v>
      </c>
      <c r="C75" s="32">
        <f>E75-F74</f>
        <v>62</v>
      </c>
      <c r="D75" s="32">
        <f>SUMPRODUCT((((YEAR('Парк (SAP)'!$H$11:$H$346)*12+MONTH('Парк (SAP)'!$H$11:$H$346)-1)+$C5)=(YEAR($A75)*12+MONTH($A75)-1))*((($C4="(Все)")+('Парк (SAP)'!$B$11:$B$346=$C4)&gt;0))*((($G4="(Все)")+('Парк (SAP)'!$C$11:$C$346=$G4)&gt;0)))</f>
        <v>5</v>
      </c>
      <c r="E75" s="32">
        <f>SUMPRODUCT(((YEAR('Парк (SAP)'!$H$11:$H$346)*12+MONTH('Парк (SAP)'!$H$11:$H$346)-1)&lt;=(YEAR($A75)*12+MONTH($A75)-1))*((($C4="(Все)")+('Парк (SAP)'!$B$11:$B$346=$C4)&gt;0))*((($G4="(Все)")+('Парк (SAP)'!$C$11:$C$346=$G4)&gt;0)))</f>
        <v>336</v>
      </c>
      <c r="F75" s="32">
        <f>SUMPRODUCT((((YEAR('Парк (SAP)'!$H$11:$H$346)*12+MONTH('Парк (SAP)'!$H$11:$H$346)-1)+$C5)&lt;=(YEAR($A75)*12+MONTH($A75)-1))*((($C4="(Все)")+('Парк (SAP)'!$B$11:$B$346=$C4)&gt;0))*((($G4="(Все)")+('Парк (SAP)'!$C$11:$C$346=$G4)&gt;0)))</f>
        <v>279</v>
      </c>
    </row>
    <row r="76">
      <c r="A76" s="43" t="n">
        <v>47362</v>
      </c>
      <c r="B76" s="32">
        <f>SUMPRODUCT(((YEAR('Парк (SAP)'!$H$11:$H$346)*12+MONTH('Парк (SAP)'!$H$11:$H$346)-1)=(YEAR($A76)*12+MONTH($A76)-1))*((($C4="(Все)")+('Парк (SAP)'!$B$11:$B$346=$C4)&gt;0))*((($G4="(Все)")+('Парк (SAP)'!$C$11:$C$346=$G4)&gt;0)))</f>
        <v>0</v>
      </c>
      <c r="C76" s="32">
        <f>E76-F75</f>
        <v>57</v>
      </c>
      <c r="D76" s="32">
        <f>SUMPRODUCT((((YEAR('Парк (SAP)'!$H$11:$H$346)*12+MONTH('Парк (SAP)'!$H$11:$H$346)-1)+$C5)=(YEAR($A76)*12+MONTH($A76)-1))*((($C4="(Все)")+('Парк (SAP)'!$B$11:$B$346=$C4)&gt;0))*((($G4="(Все)")+('Парк (SAP)'!$C$11:$C$346=$G4)&gt;0)))</f>
        <v>4</v>
      </c>
      <c r="E76" s="32">
        <f>SUMPRODUCT(((YEAR('Парк (SAP)'!$H$11:$H$346)*12+MONTH('Парк (SAP)'!$H$11:$H$346)-1)&lt;=(YEAR($A76)*12+MONTH($A76)-1))*((($C4="(Все)")+('Парк (SAP)'!$B$11:$B$346=$C4)&gt;0))*((($G4="(Все)")+('Парк (SAP)'!$C$11:$C$346=$G4)&gt;0)))</f>
        <v>336</v>
      </c>
      <c r="F76" s="32">
        <f>SUMPRODUCT((((YEAR('Парк (SAP)'!$H$11:$H$346)*12+MONTH('Парк (SAP)'!$H$11:$H$346)-1)+$C5)&lt;=(YEAR($A76)*12+MONTH($A76)-1))*((($C4="(Все)")+('Парк (SAP)'!$B$11:$B$346=$C4)&gt;0))*((($G4="(Все)")+('Парк (SAP)'!$C$11:$C$346=$G4)&gt;0)))</f>
        <v>283</v>
      </c>
    </row>
    <row r="77">
      <c r="A77" s="43" t="n">
        <v>47392</v>
      </c>
      <c r="B77" s="32">
        <f>SUMPRODUCT(((YEAR('Парк (SAP)'!$H$11:$H$346)*12+MONTH('Парк (SAP)'!$H$11:$H$346)-1)=(YEAR($A77)*12+MONTH($A77)-1))*((($C4="(Все)")+('Парк (SAP)'!$B$11:$B$346=$C4)&gt;0))*((($G4="(Все)")+('Парк (SAP)'!$C$11:$C$346=$G4)&gt;0)))</f>
        <v>0</v>
      </c>
      <c r="C77" s="32">
        <f>E77-F76</f>
        <v>53</v>
      </c>
      <c r="D77" s="32">
        <f>SUMPRODUCT((((YEAR('Парк (SAP)'!$H$11:$H$346)*12+MONTH('Парк (SAP)'!$H$11:$H$346)-1)+$C5)=(YEAR($A77)*12+MONTH($A77)-1))*((($C4="(Все)")+('Парк (SAP)'!$B$11:$B$346=$C4)&gt;0))*((($G4="(Все)")+('Парк (SAP)'!$C$11:$C$346=$G4)&gt;0)))</f>
        <v>4</v>
      </c>
      <c r="E77" s="32">
        <f>SUMPRODUCT(((YEAR('Парк (SAP)'!$H$11:$H$346)*12+MONTH('Парк (SAP)'!$H$11:$H$346)-1)&lt;=(YEAR($A77)*12+MONTH($A77)-1))*((($C4="(Все)")+('Парк (SAP)'!$B$11:$B$346=$C4)&gt;0))*((($G4="(Все)")+('Парк (SAP)'!$C$11:$C$346=$G4)&gt;0)))</f>
        <v>336</v>
      </c>
      <c r="F77" s="32">
        <f>SUMPRODUCT((((YEAR('Парк (SAP)'!$H$11:$H$346)*12+MONTH('Парк (SAP)'!$H$11:$H$346)-1)+$C5)&lt;=(YEAR($A77)*12+MONTH($A77)-1))*((($C4="(Все)")+('Парк (SAP)'!$B$11:$B$346=$C4)&gt;0))*((($G4="(Все)")+('Парк (SAP)'!$C$11:$C$346=$G4)&gt;0)))</f>
        <v>287</v>
      </c>
    </row>
    <row r="78">
      <c r="A78" s="43" t="n">
        <v>47423</v>
      </c>
      <c r="B78" s="32">
        <f>SUMPRODUCT(((YEAR('Парк (SAP)'!$H$11:$H$346)*12+MONTH('Парк (SAP)'!$H$11:$H$346)-1)=(YEAR($A78)*12+MONTH($A78)-1))*((($C4="(Все)")+('Парк (SAP)'!$B$11:$B$346=$C4)&gt;0))*((($G4="(Все)")+('Парк (SAP)'!$C$11:$C$346=$G4)&gt;0)))</f>
        <v>0</v>
      </c>
      <c r="C78" s="32">
        <f>E78-F77</f>
        <v>49</v>
      </c>
      <c r="D78" s="32">
        <f>SUMPRODUCT((((YEAR('Парк (SAP)'!$H$11:$H$346)*12+MONTH('Парк (SAP)'!$H$11:$H$346)-1)+$C5)=(YEAR($A78)*12+MONTH($A78)-1))*((($C4="(Все)")+('Парк (SAP)'!$B$11:$B$346=$C4)&gt;0))*((($G4="(Все)")+('Парк (SAP)'!$C$11:$C$346=$G4)&gt;0)))</f>
        <v>4</v>
      </c>
      <c r="E78" s="32">
        <f>SUMPRODUCT(((YEAR('Парк (SAP)'!$H$11:$H$346)*12+MONTH('Парк (SAP)'!$H$11:$H$346)-1)&lt;=(YEAR($A78)*12+MONTH($A78)-1))*((($C4="(Все)")+('Парк (SAP)'!$B$11:$B$346=$C4)&gt;0))*((($G4="(Все)")+('Парк (SAP)'!$C$11:$C$346=$G4)&gt;0)))</f>
        <v>336</v>
      </c>
      <c r="F78" s="32">
        <f>SUMPRODUCT((((YEAR('Парк (SAP)'!$H$11:$H$346)*12+MONTH('Парк (SAP)'!$H$11:$H$346)-1)+$C5)&lt;=(YEAR($A78)*12+MONTH($A78)-1))*((($C4="(Все)")+('Парк (SAP)'!$B$11:$B$346=$C4)&gt;0))*((($G4="(Все)")+('Парк (SAP)'!$C$11:$C$346=$G4)&gt;0)))</f>
        <v>291</v>
      </c>
    </row>
    <row r="79">
      <c r="A79" s="43" t="n">
        <v>47453</v>
      </c>
      <c r="B79" s="32">
        <f>SUMPRODUCT(((YEAR('Парк (SAP)'!$H$11:$H$346)*12+MONTH('Парк (SAP)'!$H$11:$H$346)-1)=(YEAR($A79)*12+MONTH($A79)-1))*((($C4="(Все)")+('Парк (SAP)'!$B$11:$B$346=$C4)&gt;0))*((($G4="(Все)")+('Парк (SAP)'!$C$11:$C$346=$G4)&gt;0)))</f>
        <v>0</v>
      </c>
      <c r="C79" s="32">
        <f>E79-F78</f>
        <v>45</v>
      </c>
      <c r="D79" s="32">
        <f>SUMPRODUCT((((YEAR('Парк (SAP)'!$H$11:$H$346)*12+MONTH('Парк (SAP)'!$H$11:$H$346)-1)+$C5)=(YEAR($A79)*12+MONTH($A79)-1))*((($C4="(Все)")+('Парк (SAP)'!$B$11:$B$346=$C4)&gt;0))*((($G4="(Все)")+('Парк (SAP)'!$C$11:$C$346=$G4)&gt;0)))</f>
        <v>4</v>
      </c>
      <c r="E79" s="32">
        <f>SUMPRODUCT(((YEAR('Парк (SAP)'!$H$11:$H$346)*12+MONTH('Парк (SAP)'!$H$11:$H$346)-1)&lt;=(YEAR($A79)*12+MONTH($A79)-1))*((($C4="(Все)")+('Парк (SAP)'!$B$11:$B$346=$C4)&gt;0))*((($G4="(Все)")+('Парк (SAP)'!$C$11:$C$346=$G4)&gt;0)))</f>
        <v>336</v>
      </c>
      <c r="F79" s="32">
        <f>SUMPRODUCT((((YEAR('Парк (SAP)'!$H$11:$H$346)*12+MONTH('Парк (SAP)'!$H$11:$H$346)-1)+$C5)&lt;=(YEAR($A79)*12+MONTH($A79)-1))*((($C4="(Все)")+('Парк (SAP)'!$B$11:$B$346=$C4)&gt;0))*((($G4="(Все)")+('Парк (SAP)'!$C$11:$C$346=$G4)&gt;0)))</f>
        <v>295</v>
      </c>
    </row>
    <row r="80">
      <c r="A80" s="43" t="n">
        <v>47484</v>
      </c>
      <c r="B80" s="32">
        <f>SUMPRODUCT(((YEAR('Парк (SAP)'!$H$11:$H$346)*12+MONTH('Парк (SAP)'!$H$11:$H$346)-1)=(YEAR($A80)*12+MONTH($A80)-1))*((($C4="(Все)")+('Парк (SAP)'!$B$11:$B$346=$C4)&gt;0))*((($G4="(Все)")+('Парк (SAP)'!$C$11:$C$346=$G4)&gt;0)))</f>
        <v>0</v>
      </c>
      <c r="C80" s="32">
        <f>E80-F79</f>
        <v>41</v>
      </c>
      <c r="D80" s="32">
        <f>SUMPRODUCT((((YEAR('Парк (SAP)'!$H$11:$H$346)*12+MONTH('Парк (SAP)'!$H$11:$H$346)-1)+$C5)=(YEAR($A80)*12+MONTH($A80)-1))*((($C4="(Все)")+('Парк (SAP)'!$B$11:$B$346=$C4)&gt;0))*((($G4="(Все)")+('Парк (SAP)'!$C$11:$C$346=$G4)&gt;0)))</f>
        <v>3</v>
      </c>
      <c r="E80" s="32">
        <f>SUMPRODUCT(((YEAR('Парк (SAP)'!$H$11:$H$346)*12+MONTH('Парк (SAP)'!$H$11:$H$346)-1)&lt;=(YEAR($A80)*12+MONTH($A80)-1))*((($C4="(Все)")+('Парк (SAP)'!$B$11:$B$346=$C4)&gt;0))*((($G4="(Все)")+('Парк (SAP)'!$C$11:$C$346=$G4)&gt;0)))</f>
        <v>336</v>
      </c>
      <c r="F80" s="32">
        <f>SUMPRODUCT((((YEAR('Парк (SAP)'!$H$11:$H$346)*12+MONTH('Парк (SAP)'!$H$11:$H$346)-1)+$C5)&lt;=(YEAR($A80)*12+MONTH($A80)-1))*((($C4="(Все)")+('Парк (SAP)'!$B$11:$B$346=$C4)&gt;0))*((($G4="(Все)")+('Парк (SAP)'!$C$11:$C$346=$G4)&gt;0)))</f>
        <v>298</v>
      </c>
    </row>
    <row r="81">
      <c r="A81" s="43" t="n">
        <v>47515</v>
      </c>
      <c r="B81" s="32">
        <f>SUMPRODUCT(((YEAR('Парк (SAP)'!$H$11:$H$346)*12+MONTH('Парк (SAP)'!$H$11:$H$346)-1)=(YEAR($A81)*12+MONTH($A81)-1))*((($C4="(Все)")+('Парк (SAP)'!$B$11:$B$346=$C4)&gt;0))*((($G4="(Все)")+('Парк (SAP)'!$C$11:$C$346=$G4)&gt;0)))</f>
        <v>0</v>
      </c>
      <c r="C81" s="32">
        <f>E81-F80</f>
        <v>38</v>
      </c>
      <c r="D81" s="32">
        <f>SUMPRODUCT((((YEAR('Парк (SAP)'!$H$11:$H$346)*12+MONTH('Парк (SAP)'!$H$11:$H$346)-1)+$C5)=(YEAR($A81)*12+MONTH($A81)-1))*((($C4="(Все)")+('Парк (SAP)'!$B$11:$B$346=$C4)&gt;0))*((($G4="(Все)")+('Парк (SAP)'!$C$11:$C$346=$G4)&gt;0)))</f>
        <v>3</v>
      </c>
      <c r="E81" s="32">
        <f>SUMPRODUCT(((YEAR('Парк (SAP)'!$H$11:$H$346)*12+MONTH('Парк (SAP)'!$H$11:$H$346)-1)&lt;=(YEAR($A81)*12+MONTH($A81)-1))*((($C4="(Все)")+('Парк (SAP)'!$B$11:$B$346=$C4)&gt;0))*((($G4="(Все)")+('Парк (SAP)'!$C$11:$C$346=$G4)&gt;0)))</f>
        <v>336</v>
      </c>
      <c r="F81" s="32">
        <f>SUMPRODUCT((((YEAR('Парк (SAP)'!$H$11:$H$346)*12+MONTH('Парк (SAP)'!$H$11:$H$346)-1)+$C5)&lt;=(YEAR($A81)*12+MONTH($A81)-1))*((($C4="(Все)")+('Парк (SAP)'!$B$11:$B$346=$C4)&gt;0))*((($G4="(Все)")+('Парк (SAP)'!$C$11:$C$346=$G4)&gt;0)))</f>
        <v>301</v>
      </c>
    </row>
    <row r="82">
      <c r="A82" s="43" t="n">
        <v>47543</v>
      </c>
      <c r="B82" s="32">
        <f>SUMPRODUCT(((YEAR('Парк (SAP)'!$H$11:$H$346)*12+MONTH('Парк (SAP)'!$H$11:$H$346)-1)=(YEAR($A82)*12+MONTH($A82)-1))*((($C4="(Все)")+('Парк (SAP)'!$B$11:$B$346=$C4)&gt;0))*((($G4="(Все)")+('Парк (SAP)'!$C$11:$C$346=$G4)&gt;0)))</f>
        <v>0</v>
      </c>
      <c r="C82" s="32">
        <f>E82-F81</f>
        <v>35</v>
      </c>
      <c r="D82" s="32">
        <f>SUMPRODUCT((((YEAR('Парк (SAP)'!$H$11:$H$346)*12+MONTH('Парк (SAP)'!$H$11:$H$346)-1)+$C5)=(YEAR($A82)*12+MONTH($A82)-1))*((($C4="(Все)")+('Парк (SAP)'!$B$11:$B$346=$C4)&gt;0))*((($G4="(Все)")+('Парк (SAP)'!$C$11:$C$346=$G4)&gt;0)))</f>
        <v>3</v>
      </c>
      <c r="E82" s="32">
        <f>SUMPRODUCT(((YEAR('Парк (SAP)'!$H$11:$H$346)*12+MONTH('Парк (SAP)'!$H$11:$H$346)-1)&lt;=(YEAR($A82)*12+MONTH($A82)-1))*((($C4="(Все)")+('Парк (SAP)'!$B$11:$B$346=$C4)&gt;0))*((($G4="(Все)")+('Парк (SAP)'!$C$11:$C$346=$G4)&gt;0)))</f>
        <v>336</v>
      </c>
      <c r="F82" s="32">
        <f>SUMPRODUCT((((YEAR('Парк (SAP)'!$H$11:$H$346)*12+MONTH('Парк (SAP)'!$H$11:$H$346)-1)+$C5)&lt;=(YEAR($A82)*12+MONTH($A82)-1))*((($C4="(Все)")+('Парк (SAP)'!$B$11:$B$346=$C4)&gt;0))*((($G4="(Все)")+('Парк (SAP)'!$C$11:$C$346=$G4)&gt;0)))</f>
        <v>304</v>
      </c>
    </row>
    <row r="83">
      <c r="A83" s="43" t="n">
        <v>47574</v>
      </c>
      <c r="B83" s="32">
        <f>SUMPRODUCT(((YEAR('Парк (SAP)'!$H$11:$H$346)*12+MONTH('Парк (SAP)'!$H$11:$H$346)-1)=(YEAR($A83)*12+MONTH($A83)-1))*((($C4="(Все)")+('Парк (SAP)'!$B$11:$B$346=$C4)&gt;0))*((($G4="(Все)")+('Парк (SAP)'!$C$11:$C$346=$G4)&gt;0)))</f>
        <v>0</v>
      </c>
      <c r="C83" s="32">
        <f>E83-F82</f>
        <v>32</v>
      </c>
      <c r="D83" s="32">
        <f>SUMPRODUCT((((YEAR('Парк (SAP)'!$H$11:$H$346)*12+MONTH('Парк (SAP)'!$H$11:$H$346)-1)+$C5)=(YEAR($A83)*12+MONTH($A83)-1))*((($C4="(Все)")+('Парк (SAP)'!$B$11:$B$346=$C4)&gt;0))*((($G4="(Все)")+('Парк (SAP)'!$C$11:$C$346=$G4)&gt;0)))</f>
        <v>4</v>
      </c>
      <c r="E83" s="32">
        <f>SUMPRODUCT(((YEAR('Парк (SAP)'!$H$11:$H$346)*12+MONTH('Парк (SAP)'!$H$11:$H$346)-1)&lt;=(YEAR($A83)*12+MONTH($A83)-1))*((($C4="(Все)")+('Парк (SAP)'!$B$11:$B$346=$C4)&gt;0))*((($G4="(Все)")+('Парк (SAP)'!$C$11:$C$346=$G4)&gt;0)))</f>
        <v>336</v>
      </c>
      <c r="F83" s="32">
        <f>SUMPRODUCT((((YEAR('Парк (SAP)'!$H$11:$H$346)*12+MONTH('Парк (SAP)'!$H$11:$H$346)-1)+$C5)&lt;=(YEAR($A83)*12+MONTH($A83)-1))*((($C4="(Все)")+('Парк (SAP)'!$B$11:$B$346=$C4)&gt;0))*((($G4="(Все)")+('Парк (SAP)'!$C$11:$C$346=$G4)&gt;0)))</f>
        <v>308</v>
      </c>
    </row>
    <row r="84">
      <c r="A84" s="43" t="n">
        <v>47604</v>
      </c>
      <c r="B84" s="32">
        <f>SUMPRODUCT(((YEAR('Парк (SAP)'!$H$11:$H$346)*12+MONTH('Парк (SAP)'!$H$11:$H$346)-1)=(YEAR($A84)*12+MONTH($A84)-1))*((($C4="(Все)")+('Парк (SAP)'!$B$11:$B$346=$C4)&gt;0))*((($G4="(Все)")+('Парк (SAP)'!$C$11:$C$346=$G4)&gt;0)))</f>
        <v>0</v>
      </c>
      <c r="C84" s="32">
        <f>E84-F83</f>
        <v>28</v>
      </c>
      <c r="D84" s="32">
        <f>SUMPRODUCT((((YEAR('Парк (SAP)'!$H$11:$H$346)*12+MONTH('Парк (SAP)'!$H$11:$H$346)-1)+$C5)=(YEAR($A84)*12+MONTH($A84)-1))*((($C4="(Все)")+('Парк (SAP)'!$B$11:$B$346=$C4)&gt;0))*((($G4="(Все)")+('Парк (SAP)'!$C$11:$C$346=$G4)&gt;0)))</f>
        <v>4</v>
      </c>
      <c r="E84" s="32">
        <f>SUMPRODUCT(((YEAR('Парк (SAP)'!$H$11:$H$346)*12+MONTH('Парк (SAP)'!$H$11:$H$346)-1)&lt;=(YEAR($A84)*12+MONTH($A84)-1))*((($C4="(Все)")+('Парк (SAP)'!$B$11:$B$346=$C4)&gt;0))*((($G4="(Все)")+('Парк (SAP)'!$C$11:$C$346=$G4)&gt;0)))</f>
        <v>336</v>
      </c>
      <c r="F84" s="32">
        <f>SUMPRODUCT((((YEAR('Парк (SAP)'!$H$11:$H$346)*12+MONTH('Парк (SAP)'!$H$11:$H$346)-1)+$C5)&lt;=(YEAR($A84)*12+MONTH($A84)-1))*((($C4="(Все)")+('Парк (SAP)'!$B$11:$B$346=$C4)&gt;0))*((($G4="(Все)")+('Парк (SAP)'!$C$11:$C$346=$G4)&gt;0)))</f>
        <v>312</v>
      </c>
    </row>
    <row r="85">
      <c r="A85" s="43" t="n">
        <v>47635</v>
      </c>
      <c r="B85" s="32">
        <f>SUMPRODUCT(((YEAR('Парк (SAP)'!$H$11:$H$346)*12+MONTH('Парк (SAP)'!$H$11:$H$346)-1)=(YEAR($A85)*12+MONTH($A85)-1))*((($C4="(Все)")+('Парк (SAP)'!$B$11:$B$346=$C4)&gt;0))*((($G4="(Все)")+('Парк (SAP)'!$C$11:$C$346=$G4)&gt;0)))</f>
        <v>0</v>
      </c>
      <c r="C85" s="32">
        <f>E85-F84</f>
        <v>24</v>
      </c>
      <c r="D85" s="32">
        <f>SUMPRODUCT((((YEAR('Парк (SAP)'!$H$11:$H$346)*12+MONTH('Парк (SAP)'!$H$11:$H$346)-1)+$C5)=(YEAR($A85)*12+MONTH($A85)-1))*((($C4="(Все)")+('Парк (SAP)'!$B$11:$B$346=$C4)&gt;0))*((($G4="(Все)")+('Парк (SAP)'!$C$11:$C$346=$G4)&gt;0)))</f>
        <v>4</v>
      </c>
      <c r="E85" s="32">
        <f>SUMPRODUCT(((YEAR('Парк (SAP)'!$H$11:$H$346)*12+MONTH('Парк (SAP)'!$H$11:$H$346)-1)&lt;=(YEAR($A85)*12+MONTH($A85)-1))*((($C4="(Все)")+('Парк (SAP)'!$B$11:$B$346=$C4)&gt;0))*((($G4="(Все)")+('Парк (SAP)'!$C$11:$C$346=$G4)&gt;0)))</f>
        <v>336</v>
      </c>
      <c r="F85" s="32">
        <f>SUMPRODUCT((((YEAR('Парк (SAP)'!$H$11:$H$346)*12+MONTH('Парк (SAP)'!$H$11:$H$346)-1)+$C5)&lt;=(YEAR($A85)*12+MONTH($A85)-1))*((($C4="(Все)")+('Парк (SAP)'!$B$11:$B$346=$C4)&gt;0))*((($G4="(Все)")+('Парк (SAP)'!$C$11:$C$346=$G4)&gt;0)))</f>
        <v>316</v>
      </c>
    </row>
    <row r="86">
      <c r="A86" s="43" t="n">
        <v>47665</v>
      </c>
      <c r="B86" s="32">
        <f>SUMPRODUCT(((YEAR('Парк (SAP)'!$H$11:$H$346)*12+MONTH('Парк (SAP)'!$H$11:$H$346)-1)=(YEAR($A86)*12+MONTH($A86)-1))*((($C4="(Все)")+('Парк (SAP)'!$B$11:$B$346=$C4)&gt;0))*((($G4="(Все)")+('Парк (SAP)'!$C$11:$C$346=$G4)&gt;0)))</f>
        <v>0</v>
      </c>
      <c r="C86" s="32">
        <f>E86-F85</f>
        <v>20</v>
      </c>
      <c r="D86" s="32">
        <f>SUMPRODUCT((((YEAR('Парк (SAP)'!$H$11:$H$346)*12+MONTH('Парк (SAP)'!$H$11:$H$346)-1)+$C5)=(YEAR($A86)*12+MONTH($A86)-1))*((($C4="(Все)")+('Парк (SAP)'!$B$11:$B$346=$C4)&gt;0))*((($G4="(Все)")+('Парк (SAP)'!$C$11:$C$346=$G4)&gt;0)))</f>
        <v>3</v>
      </c>
      <c r="E86" s="32">
        <f>SUMPRODUCT(((YEAR('Парк (SAP)'!$H$11:$H$346)*12+MONTH('Парк (SAP)'!$H$11:$H$346)-1)&lt;=(YEAR($A86)*12+MONTH($A86)-1))*((($C4="(Все)")+('Парк (SAP)'!$B$11:$B$346=$C4)&gt;0))*((($G4="(Все)")+('Парк (SAP)'!$C$11:$C$346=$G4)&gt;0)))</f>
        <v>336</v>
      </c>
      <c r="F86" s="32">
        <f>SUMPRODUCT((((YEAR('Парк (SAP)'!$H$11:$H$346)*12+MONTH('Парк (SAP)'!$H$11:$H$346)-1)+$C5)&lt;=(YEAR($A86)*12+MONTH($A86)-1))*((($C4="(Все)")+('Парк (SAP)'!$B$11:$B$346=$C4)&gt;0))*((($G4="(Все)")+('Парк (SAP)'!$C$11:$C$346=$G4)&gt;0)))</f>
        <v>319</v>
      </c>
    </row>
    <row r="87">
      <c r="A87" s="43" t="n">
        <v>47696</v>
      </c>
      <c r="B87" s="32">
        <f>SUMPRODUCT(((YEAR('Парк (SAP)'!$H$11:$H$346)*12+MONTH('Парк (SAP)'!$H$11:$H$346)-1)=(YEAR($A87)*12+MONTH($A87)-1))*((($C4="(Все)")+('Парк (SAP)'!$B$11:$B$346=$C4)&gt;0))*((($G4="(Все)")+('Парк (SAP)'!$C$11:$C$346=$G4)&gt;0)))</f>
        <v>0</v>
      </c>
      <c r="C87" s="32">
        <f>E87-F86</f>
        <v>17</v>
      </c>
      <c r="D87" s="32">
        <f>SUMPRODUCT((((YEAR('Парк (SAP)'!$H$11:$H$346)*12+MONTH('Парк (SAP)'!$H$11:$H$346)-1)+$C5)=(YEAR($A87)*12+MONTH($A87)-1))*((($C4="(Все)")+('Парк (SAP)'!$B$11:$B$346=$C4)&gt;0))*((($G4="(Все)")+('Парк (SAP)'!$C$11:$C$346=$G4)&gt;0)))</f>
        <v>1</v>
      </c>
      <c r="E87" s="32">
        <f>SUMPRODUCT(((YEAR('Парк (SAP)'!$H$11:$H$346)*12+MONTH('Парк (SAP)'!$H$11:$H$346)-1)&lt;=(YEAR($A87)*12+MONTH($A87)-1))*((($C4="(Все)")+('Парк (SAP)'!$B$11:$B$346=$C4)&gt;0))*((($G4="(Все)")+('Парк (SAP)'!$C$11:$C$346=$G4)&gt;0)))</f>
        <v>336</v>
      </c>
      <c r="F87" s="32">
        <f>SUMPRODUCT((((YEAR('Парк (SAP)'!$H$11:$H$346)*12+MONTH('Парк (SAP)'!$H$11:$H$346)-1)+$C5)&lt;=(YEAR($A87)*12+MONTH($A87)-1))*((($C4="(Все)")+('Парк (SAP)'!$B$11:$B$346=$C4)&gt;0))*((($G4="(Все)")+('Парк (SAP)'!$C$11:$C$346=$G4)&gt;0)))</f>
        <v>320</v>
      </c>
    </row>
    <row r="88">
      <c r="A88" s="43" t="n">
        <v>47727</v>
      </c>
      <c r="B88" s="32">
        <f>SUMPRODUCT(((YEAR('Парк (SAP)'!$H$11:$H$346)*12+MONTH('Парк (SAP)'!$H$11:$H$346)-1)=(YEAR($A88)*12+MONTH($A88)-1))*((($C4="(Все)")+('Парк (SAP)'!$B$11:$B$346=$C4)&gt;0))*((($G4="(Все)")+('Парк (SAP)'!$C$11:$C$346=$G4)&gt;0)))</f>
        <v>0</v>
      </c>
      <c r="C88" s="32">
        <f>E88-F87</f>
        <v>16</v>
      </c>
      <c r="D88" s="32">
        <f>SUMPRODUCT((((YEAR('Парк (SAP)'!$H$11:$H$346)*12+MONTH('Парк (SAP)'!$H$11:$H$346)-1)+$C5)=(YEAR($A88)*12+MONTH($A88)-1))*((($C4="(Все)")+('Парк (SAP)'!$B$11:$B$346=$C4)&gt;0))*((($G4="(Все)")+('Парк (SAP)'!$C$11:$C$346=$G4)&gt;0)))</f>
        <v>1</v>
      </c>
      <c r="E88" s="32">
        <f>SUMPRODUCT(((YEAR('Парк (SAP)'!$H$11:$H$346)*12+MONTH('Парк (SAP)'!$H$11:$H$346)-1)&lt;=(YEAR($A88)*12+MONTH($A88)-1))*((($C4="(Все)")+('Парк (SAP)'!$B$11:$B$346=$C4)&gt;0))*((($G4="(Все)")+('Парк (SAP)'!$C$11:$C$346=$G4)&gt;0)))</f>
        <v>336</v>
      </c>
      <c r="F88" s="32">
        <f>SUMPRODUCT((((YEAR('Парк (SAP)'!$H$11:$H$346)*12+MONTH('Парк (SAP)'!$H$11:$H$346)-1)+$C5)&lt;=(YEAR($A88)*12+MONTH($A88)-1))*((($C4="(Все)")+('Парк (SAP)'!$B$11:$B$346=$C4)&gt;0))*((($G4="(Все)")+('Парк (SAP)'!$C$11:$C$346=$G4)&gt;0)))</f>
        <v>321</v>
      </c>
    </row>
    <row r="89">
      <c r="A89" s="43" t="n">
        <v>47757</v>
      </c>
      <c r="B89" s="32">
        <f>SUMPRODUCT(((YEAR('Парк (SAP)'!$H$11:$H$346)*12+MONTH('Парк (SAP)'!$H$11:$H$346)-1)=(YEAR($A89)*12+MONTH($A89)-1))*((($C4="(Все)")+('Парк (SAP)'!$B$11:$B$346=$C4)&gt;0))*((($G4="(Все)")+('Парк (SAP)'!$C$11:$C$346=$G4)&gt;0)))</f>
        <v>0</v>
      </c>
      <c r="C89" s="32">
        <f>E89-F88</f>
        <v>15</v>
      </c>
      <c r="D89" s="32">
        <f>SUMPRODUCT((((YEAR('Парк (SAP)'!$H$11:$H$346)*12+MONTH('Парк (SAP)'!$H$11:$H$346)-1)+$C5)=(YEAR($A89)*12+MONTH($A89)-1))*((($C4="(Все)")+('Парк (SAP)'!$B$11:$B$346=$C4)&gt;0))*((($G4="(Все)")+('Парк (SAP)'!$C$11:$C$346=$G4)&gt;0)))</f>
        <v>4</v>
      </c>
      <c r="E89" s="32">
        <f>SUMPRODUCT(((YEAR('Парк (SAP)'!$H$11:$H$346)*12+MONTH('Парк (SAP)'!$H$11:$H$346)-1)&lt;=(YEAR($A89)*12+MONTH($A89)-1))*((($C4="(Все)")+('Парк (SAP)'!$B$11:$B$346=$C4)&gt;0))*((($G4="(Все)")+('Парк (SAP)'!$C$11:$C$346=$G4)&gt;0)))</f>
        <v>336</v>
      </c>
      <c r="F89" s="32">
        <f>SUMPRODUCT((((YEAR('Парк (SAP)'!$H$11:$H$346)*12+MONTH('Парк (SAP)'!$H$11:$H$346)-1)+$C5)&lt;=(YEAR($A89)*12+MONTH($A89)-1))*((($C4="(Все)")+('Парк (SAP)'!$B$11:$B$346=$C4)&gt;0))*((($G4="(Все)")+('Парк (SAP)'!$C$11:$C$346=$G4)&gt;0)))</f>
        <v>325</v>
      </c>
    </row>
    <row r="90">
      <c r="A90" s="43" t="n">
        <v>47788</v>
      </c>
      <c r="B90" s="32">
        <f>SUMPRODUCT(((YEAR('Парк (SAP)'!$H$11:$H$346)*12+MONTH('Парк (SAP)'!$H$11:$H$346)-1)=(YEAR($A90)*12+MONTH($A90)-1))*((($C4="(Все)")+('Парк (SAP)'!$B$11:$B$346=$C4)&gt;0))*((($G4="(Все)")+('Парк (SAP)'!$C$11:$C$346=$G4)&gt;0)))</f>
        <v>0</v>
      </c>
      <c r="C90" s="32">
        <f>E90-F89</f>
        <v>11</v>
      </c>
      <c r="D90" s="32">
        <f>SUMPRODUCT((((YEAR('Парк (SAP)'!$H$11:$H$346)*12+MONTH('Парк (SAP)'!$H$11:$H$346)-1)+$C5)=(YEAR($A90)*12+MONTH($A90)-1))*((($C4="(Все)")+('Парк (SAP)'!$B$11:$B$346=$C4)&gt;0))*((($G4="(Все)")+('Парк (SAP)'!$C$11:$C$346=$G4)&gt;0)))</f>
        <v>4</v>
      </c>
      <c r="E90" s="32">
        <f>SUMPRODUCT(((YEAR('Парк (SAP)'!$H$11:$H$346)*12+MONTH('Парк (SAP)'!$H$11:$H$346)-1)&lt;=(YEAR($A90)*12+MONTH($A90)-1))*((($C4="(Все)")+('Парк (SAP)'!$B$11:$B$346=$C4)&gt;0))*((($G4="(Все)")+('Парк (SAP)'!$C$11:$C$346=$G4)&gt;0)))</f>
        <v>336</v>
      </c>
      <c r="F90" s="32">
        <f>SUMPRODUCT((((YEAR('Парк (SAP)'!$H$11:$H$346)*12+MONTH('Парк (SAP)'!$H$11:$H$346)-1)+$C5)&lt;=(YEAR($A90)*12+MONTH($A90)-1))*((($C4="(Все)")+('Парк (SAP)'!$B$11:$B$346=$C4)&gt;0))*((($G4="(Все)")+('Парк (SAP)'!$C$11:$C$346=$G4)&gt;0)))</f>
        <v>329</v>
      </c>
    </row>
    <row r="91">
      <c r="A91" s="43" t="n">
        <v>47818</v>
      </c>
      <c r="B91" s="32">
        <f>SUMPRODUCT(((YEAR('Парк (SAP)'!$H$11:$H$346)*12+MONTH('Парк (SAP)'!$H$11:$H$346)-1)=(YEAR($A91)*12+MONTH($A91)-1))*((($C4="(Все)")+('Парк (SAP)'!$B$11:$B$346=$C4)&gt;0))*((($G4="(Все)")+('Парк (SAP)'!$C$11:$C$346=$G4)&gt;0)))</f>
        <v>0</v>
      </c>
      <c r="C91" s="32">
        <f>E91-F90</f>
        <v>7</v>
      </c>
      <c r="D91" s="32">
        <f>SUMPRODUCT((((YEAR('Парк (SAP)'!$H$11:$H$346)*12+MONTH('Парк (SAP)'!$H$11:$H$346)-1)+$C5)=(YEAR($A91)*12+MONTH($A91)-1))*((($C4="(Все)")+('Парк (SAP)'!$B$11:$B$346=$C4)&gt;0))*((($G4="(Все)")+('Парк (SAP)'!$C$11:$C$346=$G4)&gt;0)))</f>
        <v>4</v>
      </c>
      <c r="E91" s="32">
        <f>SUMPRODUCT(((YEAR('Парк (SAP)'!$H$11:$H$346)*12+MONTH('Парк (SAP)'!$H$11:$H$346)-1)&lt;=(YEAR($A91)*12+MONTH($A91)-1))*((($C4="(Все)")+('Парк (SAP)'!$B$11:$B$346=$C4)&gt;0))*((($G4="(Все)")+('Парк (SAP)'!$C$11:$C$346=$G4)&gt;0)))</f>
        <v>336</v>
      </c>
      <c r="F91" s="32">
        <f>SUMPRODUCT((((YEAR('Парк (SAP)'!$H$11:$H$346)*12+MONTH('Парк (SAP)'!$H$11:$H$346)-1)+$C5)&lt;=(YEAR($A91)*12+MONTH($A91)-1))*((($C4="(Все)")+('Парк (SAP)'!$B$11:$B$346=$C4)&gt;0))*((($G4="(Все)")+('Парк (SAP)'!$C$11:$C$346=$G4)&gt;0)))</f>
        <v>333</v>
      </c>
    </row>
    <row r="92">
      <c r="A92" s="43" t="n">
        <v>47849</v>
      </c>
      <c r="B92" s="32">
        <f>SUMPRODUCT(((YEAR('Парк (SAP)'!$H$11:$H$346)*12+MONTH('Парк (SAP)'!$H$11:$H$346)-1)=(YEAR($A92)*12+MONTH($A92)-1))*((($C4="(Все)")+('Парк (SAP)'!$B$11:$B$346=$C4)&gt;0))*((($G4="(Все)")+('Парк (SAP)'!$C$11:$C$346=$G4)&gt;0)))</f>
        <v>0</v>
      </c>
      <c r="C92" s="32">
        <f>E92-F91</f>
        <v>3</v>
      </c>
      <c r="D92" s="32">
        <f>SUMPRODUCT((((YEAR('Парк (SAP)'!$H$11:$H$346)*12+MONTH('Парк (SAP)'!$H$11:$H$346)-1)+$C5)=(YEAR($A92)*12+MONTH($A92)-1))*((($C4="(Все)")+('Парк (SAP)'!$B$11:$B$346=$C4)&gt;0))*((($G4="(Все)")+('Парк (SAP)'!$C$11:$C$346=$G4)&gt;0)))</f>
        <v>3</v>
      </c>
      <c r="E92" s="32">
        <f>SUMPRODUCT(((YEAR('Парк (SAP)'!$H$11:$H$346)*12+MONTH('Парк (SAP)'!$H$11:$H$346)-1)&lt;=(YEAR($A92)*12+MONTH($A92)-1))*((($C4="(Все)")+('Парк (SAP)'!$B$11:$B$346=$C4)&gt;0))*((($G4="(Все)")+('Парк (SAP)'!$C$11:$C$346=$G4)&gt;0)))</f>
        <v>336</v>
      </c>
      <c r="F92" s="32">
        <f>SUMPRODUCT((((YEAR('Парк (SAP)'!$H$11:$H$346)*12+MONTH('Парк (SAP)'!$H$11:$H$346)-1)+$C5)&lt;=(YEAR($A92)*12+MONTH($A92)-1))*((($C4="(Все)")+('Парк (SAP)'!$B$11:$B$346=$C4)&gt;0))*((($G4="(Все)")+('Парк (SAP)'!$C$11:$C$346=$G4)&gt;0)))</f>
        <v>336</v>
      </c>
    </row>
    <row r="93">
      <c r="A93" s="43" t="n">
        <v>47880</v>
      </c>
      <c r="B93" s="32">
        <f>SUMPRODUCT(((YEAR('Парк (SAP)'!$H$11:$H$346)*12+MONTH('Парк (SAP)'!$H$11:$H$346)-1)=(YEAR($A93)*12+MONTH($A93)-1))*((($C4="(Все)")+('Парк (SAP)'!$B$11:$B$346=$C4)&gt;0))*((($G4="(Все)")+('Парк (SAP)'!$C$11:$C$346=$G4)&gt;0)))</f>
        <v>0</v>
      </c>
      <c r="C93" s="32">
        <f>E93-F92</f>
        <v>0</v>
      </c>
      <c r="D93" s="32">
        <f>SUMPRODUCT((((YEAR('Парк (SAP)'!$H$11:$H$346)*12+MONTH('Парк (SAP)'!$H$11:$H$346)-1)+$C5)=(YEAR($A93)*12+MONTH($A93)-1))*((($C4="(Все)")+('Парк (SAP)'!$B$11:$B$346=$C4)&gt;0))*((($G4="(Все)")+('Парк (SAP)'!$C$11:$C$346=$G4)&gt;0)))</f>
        <v>0</v>
      </c>
      <c r="E93" s="32">
        <f>SUMPRODUCT(((YEAR('Парк (SAP)'!$H$11:$H$346)*12+MONTH('Парк (SAP)'!$H$11:$H$346)-1)&lt;=(YEAR($A93)*12+MONTH($A93)-1))*((($C4="(Все)")+('Парк (SAP)'!$B$11:$B$346=$C4)&gt;0))*((($G4="(Все)")+('Парк (SAP)'!$C$11:$C$346=$G4)&gt;0)))</f>
        <v>336</v>
      </c>
      <c r="F93" s="32">
        <f>SUMPRODUCT((((YEAR('Парк (SAP)'!$H$11:$H$346)*12+MONTH('Парк (SAP)'!$H$11:$H$346)-1)+$C5)&lt;=(YEAR($A93)*12+MONTH($A93)-1))*((($C4="(Все)")+('Парк (SAP)'!$B$11:$B$346=$C4)&gt;0))*((($G4="(Все)")+('Парк (SAP)'!$C$11:$C$346=$G4)&gt;0)))</f>
        <v>336</v>
      </c>
    </row>
    <row r="94">
      <c r="A94" s="43" t="n">
        <v>47908</v>
      </c>
      <c r="B94" s="32">
        <f>SUMPRODUCT(((YEAR('Парк (SAP)'!$H$11:$H$346)*12+MONTH('Парк (SAP)'!$H$11:$H$346)-1)=(YEAR($A94)*12+MONTH($A94)-1))*((($C4="(Все)")+('Парк (SAP)'!$B$11:$B$346=$C4)&gt;0))*((($G4="(Все)")+('Парк (SAP)'!$C$11:$C$346=$G4)&gt;0)))</f>
        <v>0</v>
      </c>
      <c r="C94" s="32">
        <f>E94-F93</f>
        <v>0</v>
      </c>
      <c r="D94" s="32">
        <f>SUMPRODUCT((((YEAR('Парк (SAP)'!$H$11:$H$346)*12+MONTH('Парк (SAP)'!$H$11:$H$346)-1)+$C5)=(YEAR($A94)*12+MONTH($A94)-1))*((($C4="(Все)")+('Парк (SAP)'!$B$11:$B$346=$C4)&gt;0))*((($G4="(Все)")+('Парк (SAP)'!$C$11:$C$346=$G4)&gt;0)))</f>
        <v>0</v>
      </c>
      <c r="E94" s="32">
        <f>SUMPRODUCT(((YEAR('Парк (SAP)'!$H$11:$H$346)*12+MONTH('Парк (SAP)'!$H$11:$H$346)-1)&lt;=(YEAR($A94)*12+MONTH($A94)-1))*((($C4="(Все)")+('Парк (SAP)'!$B$11:$B$346=$C4)&gt;0))*((($G4="(Все)")+('Парк (SAP)'!$C$11:$C$346=$G4)&gt;0)))</f>
        <v>336</v>
      </c>
      <c r="F94" s="32">
        <f>SUMPRODUCT((((YEAR('Парк (SAP)'!$H$11:$H$346)*12+MONTH('Парк (SAP)'!$H$11:$H$346)-1)+$C5)&lt;=(YEAR($A94)*12+MONTH($A94)-1))*((($C4="(Все)")+('Парк (SAP)'!$B$11:$B$346=$C4)&gt;0))*((($G4="(Все)")+('Парк (SAP)'!$C$11:$C$346=$G4)&gt;0)))</f>
        <v>336</v>
      </c>
    </row>
    <row r="95">
      <c r="A95" s="43" t="n">
        <v>47939</v>
      </c>
      <c r="B95" s="32">
        <f>SUMPRODUCT(((YEAR('Парк (SAP)'!$H$11:$H$346)*12+MONTH('Парк (SAP)'!$H$11:$H$346)-1)=(YEAR($A95)*12+MONTH($A95)-1))*((($C4="(Все)")+('Парк (SAP)'!$B$11:$B$346=$C4)&gt;0))*((($G4="(Все)")+('Парк (SAP)'!$C$11:$C$346=$G4)&gt;0)))</f>
        <v>0</v>
      </c>
      <c r="C95" s="32">
        <f>E95-F94</f>
        <v>0</v>
      </c>
      <c r="D95" s="32">
        <f>SUMPRODUCT((((YEAR('Парк (SAP)'!$H$11:$H$346)*12+MONTH('Парк (SAP)'!$H$11:$H$346)-1)+$C5)=(YEAR($A95)*12+MONTH($A95)-1))*((($C4="(Все)")+('Парк (SAP)'!$B$11:$B$346=$C4)&gt;0))*((($G4="(Все)")+('Парк (SAP)'!$C$11:$C$346=$G4)&gt;0)))</f>
        <v>0</v>
      </c>
      <c r="E95" s="32">
        <f>SUMPRODUCT(((YEAR('Парк (SAP)'!$H$11:$H$346)*12+MONTH('Парк (SAP)'!$H$11:$H$346)-1)&lt;=(YEAR($A95)*12+MONTH($A95)-1))*((($C4="(Все)")+('Парк (SAP)'!$B$11:$B$346=$C4)&gt;0))*((($G4="(Все)")+('Парк (SAP)'!$C$11:$C$346=$G4)&gt;0)))</f>
        <v>336</v>
      </c>
      <c r="F95" s="32">
        <f>SUMPRODUCT((((YEAR('Парк (SAP)'!$H$11:$H$346)*12+MONTH('Парк (SAP)'!$H$11:$H$346)-1)+$C5)&lt;=(YEAR($A95)*12+MONTH($A95)-1))*((($C4="(Все)")+('Парк (SAP)'!$B$11:$B$346=$C4)&gt;0))*((($G4="(Все)")+('Парк (SAP)'!$C$11:$C$346=$G4)&gt;0)))</f>
        <v>336</v>
      </c>
    </row>
    <row r="96">
      <c r="A96" s="43" t="n">
        <v>47969</v>
      </c>
      <c r="B96" s="32">
        <f>SUMPRODUCT(((YEAR('Парк (SAP)'!$H$11:$H$346)*12+MONTH('Парк (SAP)'!$H$11:$H$346)-1)=(YEAR($A96)*12+MONTH($A96)-1))*((($C4="(Все)")+('Парк (SAP)'!$B$11:$B$346=$C4)&gt;0))*((($G4="(Все)")+('Парк (SAP)'!$C$11:$C$346=$G4)&gt;0)))</f>
        <v>0</v>
      </c>
      <c r="C96" s="32">
        <f>E96-F95</f>
        <v>0</v>
      </c>
      <c r="D96" s="32">
        <f>SUMPRODUCT((((YEAR('Парк (SAP)'!$H$11:$H$346)*12+MONTH('Парк (SAP)'!$H$11:$H$346)-1)+$C5)=(YEAR($A96)*12+MONTH($A96)-1))*((($C4="(Все)")+('Парк (SAP)'!$B$11:$B$346=$C4)&gt;0))*((($G4="(Все)")+('Парк (SAP)'!$C$11:$C$346=$G4)&gt;0)))</f>
        <v>0</v>
      </c>
      <c r="E96" s="32">
        <f>SUMPRODUCT(((YEAR('Парк (SAP)'!$H$11:$H$346)*12+MONTH('Парк (SAP)'!$H$11:$H$346)-1)&lt;=(YEAR($A96)*12+MONTH($A96)-1))*((($C4="(Все)")+('Парк (SAP)'!$B$11:$B$346=$C4)&gt;0))*((($G4="(Все)")+('Парк (SAP)'!$C$11:$C$346=$G4)&gt;0)))</f>
        <v>336</v>
      </c>
      <c r="F96" s="32">
        <f>SUMPRODUCT((((YEAR('Парк (SAP)'!$H$11:$H$346)*12+MONTH('Парк (SAP)'!$H$11:$H$346)-1)+$C5)&lt;=(YEAR($A96)*12+MONTH($A96)-1))*((($C4="(Все)")+('Парк (SAP)'!$B$11:$B$346=$C4)&gt;0))*((($G4="(Все)")+('Парк (SAP)'!$C$11:$C$346=$G4)&gt;0)))</f>
        <v>336</v>
      </c>
    </row>
    <row r="97">
      <c r="A97" s="43" t="n">
        <v>48000</v>
      </c>
      <c r="B97" s="32">
        <f>SUMPRODUCT(((YEAR('Парк (SAP)'!$H$11:$H$346)*12+MONTH('Парк (SAP)'!$H$11:$H$346)-1)=(YEAR($A97)*12+MONTH($A97)-1))*((($C4="(Все)")+('Парк (SAP)'!$B$11:$B$346=$C4)&gt;0))*((($G4="(Все)")+('Парк (SAP)'!$C$11:$C$346=$G4)&gt;0)))</f>
        <v>0</v>
      </c>
      <c r="C97" s="32">
        <f>E97-F96</f>
        <v>0</v>
      </c>
      <c r="D97" s="32">
        <f>SUMPRODUCT((((YEAR('Парк (SAP)'!$H$11:$H$346)*12+MONTH('Парк (SAP)'!$H$11:$H$346)-1)+$C5)=(YEAR($A97)*12+MONTH($A97)-1))*((($C4="(Все)")+('Парк (SAP)'!$B$11:$B$346=$C4)&gt;0))*((($G4="(Все)")+('Парк (SAP)'!$C$11:$C$346=$G4)&gt;0)))</f>
        <v>0</v>
      </c>
      <c r="E97" s="32">
        <f>SUMPRODUCT(((YEAR('Парк (SAP)'!$H$11:$H$346)*12+MONTH('Парк (SAP)'!$H$11:$H$346)-1)&lt;=(YEAR($A97)*12+MONTH($A97)-1))*((($C4="(Все)")+('Парк (SAP)'!$B$11:$B$346=$C4)&gt;0))*((($G4="(Все)")+('Парк (SAP)'!$C$11:$C$346=$G4)&gt;0)))</f>
        <v>336</v>
      </c>
      <c r="F97" s="32">
        <f>SUMPRODUCT((((YEAR('Парк (SAP)'!$H$11:$H$346)*12+MONTH('Парк (SAP)'!$H$11:$H$346)-1)+$C5)&lt;=(YEAR($A97)*12+MONTH($A97)-1))*((($C4="(Все)")+('Парк (SAP)'!$B$11:$B$346=$C4)&gt;0))*((($G4="(Все)")+('Парк (SAP)'!$C$11:$C$346=$G4)&gt;0)))</f>
        <v>336</v>
      </c>
    </row>
    <row r="98">
      <c r="A98" s="43" t="n">
        <v>48030</v>
      </c>
      <c r="B98" s="32">
        <f>SUMPRODUCT(((YEAR('Парк (SAP)'!$H$11:$H$346)*12+MONTH('Парк (SAP)'!$H$11:$H$346)-1)=(YEAR($A98)*12+MONTH($A98)-1))*((($C4="(Все)")+('Парк (SAP)'!$B$11:$B$346=$C4)&gt;0))*((($G4="(Все)")+('Парк (SAP)'!$C$11:$C$346=$G4)&gt;0)))</f>
        <v>0</v>
      </c>
      <c r="C98" s="32">
        <f>E98-F97</f>
        <v>0</v>
      </c>
      <c r="D98" s="32">
        <f>SUMPRODUCT((((YEAR('Парк (SAP)'!$H$11:$H$346)*12+MONTH('Парк (SAP)'!$H$11:$H$346)-1)+$C5)=(YEAR($A98)*12+MONTH($A98)-1))*((($C4="(Все)")+('Парк (SAP)'!$B$11:$B$346=$C4)&gt;0))*((($G4="(Все)")+('Парк (SAP)'!$C$11:$C$346=$G4)&gt;0)))</f>
        <v>0</v>
      </c>
      <c r="E98" s="32">
        <f>SUMPRODUCT(((YEAR('Парк (SAP)'!$H$11:$H$346)*12+MONTH('Парк (SAP)'!$H$11:$H$346)-1)&lt;=(YEAR($A98)*12+MONTH($A98)-1))*((($C4="(Все)")+('Парк (SAP)'!$B$11:$B$346=$C4)&gt;0))*((($G4="(Все)")+('Парк (SAP)'!$C$11:$C$346=$G4)&gt;0)))</f>
        <v>336</v>
      </c>
      <c r="F98" s="32">
        <f>SUMPRODUCT((((YEAR('Парк (SAP)'!$H$11:$H$346)*12+MONTH('Парк (SAP)'!$H$11:$H$346)-1)+$C5)&lt;=(YEAR($A98)*12+MONTH($A98)-1))*((($C4="(Все)")+('Парк (SAP)'!$B$11:$B$346=$C4)&gt;0))*((($G4="(Все)")+('Парк (SAP)'!$C$11:$C$346=$G4)&gt;0)))</f>
        <v>336</v>
      </c>
    </row>
    <row r="99">
      <c r="A99" s="43" t="n">
        <v>48061</v>
      </c>
      <c r="B99" s="32">
        <f>SUMPRODUCT(((YEAR('Парк (SAP)'!$H$11:$H$346)*12+MONTH('Парк (SAP)'!$H$11:$H$346)-1)=(YEAR($A99)*12+MONTH($A99)-1))*((($C4="(Все)")+('Парк (SAP)'!$B$11:$B$346=$C4)&gt;0))*((($G4="(Все)")+('Парк (SAP)'!$C$11:$C$346=$G4)&gt;0)))</f>
        <v>0</v>
      </c>
      <c r="C99" s="32">
        <f>E99-F98</f>
        <v>0</v>
      </c>
      <c r="D99" s="32">
        <f>SUMPRODUCT((((YEAR('Парк (SAP)'!$H$11:$H$346)*12+MONTH('Парк (SAP)'!$H$11:$H$346)-1)+$C5)=(YEAR($A99)*12+MONTH($A99)-1))*((($C4="(Все)")+('Парк (SAP)'!$B$11:$B$346=$C4)&gt;0))*((($G4="(Все)")+('Парк (SAP)'!$C$11:$C$346=$G4)&gt;0)))</f>
        <v>0</v>
      </c>
      <c r="E99" s="32">
        <f>SUMPRODUCT(((YEAR('Парк (SAP)'!$H$11:$H$346)*12+MONTH('Парк (SAP)'!$H$11:$H$346)-1)&lt;=(YEAR($A99)*12+MONTH($A99)-1))*((($C4="(Все)")+('Парк (SAP)'!$B$11:$B$346=$C4)&gt;0))*((($G4="(Все)")+('Парк (SAP)'!$C$11:$C$346=$G4)&gt;0)))</f>
        <v>336</v>
      </c>
      <c r="F99" s="32">
        <f>SUMPRODUCT((((YEAR('Парк (SAP)'!$H$11:$H$346)*12+MONTH('Парк (SAP)'!$H$11:$H$346)-1)+$C5)&lt;=(YEAR($A99)*12+MONTH($A99)-1))*((($C4="(Все)")+('Парк (SAP)'!$B$11:$B$346=$C4)&gt;0))*((($G4="(Все)")+('Парк (SAP)'!$C$11:$C$346=$G4)&gt;0)))</f>
        <v>336</v>
      </c>
    </row>
    <row r="100">
      <c r="A100" s="43" t="n">
        <v>48092</v>
      </c>
      <c r="B100" s="32">
        <f>SUMPRODUCT(((YEAR('Парк (SAP)'!$H$11:$H$346)*12+MONTH('Парк (SAP)'!$H$11:$H$346)-1)=(YEAR($A100)*12+MONTH($A100)-1))*((($C4="(Все)")+('Парк (SAP)'!$B$11:$B$346=$C4)&gt;0))*((($G4="(Все)")+('Парк (SAP)'!$C$11:$C$346=$G4)&gt;0)))</f>
        <v>0</v>
      </c>
      <c r="C100" s="32">
        <f>E100-F99</f>
        <v>0</v>
      </c>
      <c r="D100" s="32">
        <f>SUMPRODUCT((((YEAR('Парк (SAP)'!$H$11:$H$346)*12+MONTH('Парк (SAP)'!$H$11:$H$346)-1)+$C5)=(YEAR($A100)*12+MONTH($A100)-1))*((($C4="(Все)")+('Парк (SAP)'!$B$11:$B$346=$C4)&gt;0))*((($G4="(Все)")+('Парк (SAP)'!$C$11:$C$346=$G4)&gt;0)))</f>
        <v>0</v>
      </c>
      <c r="E100" s="32">
        <f>SUMPRODUCT(((YEAR('Парк (SAP)'!$H$11:$H$346)*12+MONTH('Парк (SAP)'!$H$11:$H$346)-1)&lt;=(YEAR($A100)*12+MONTH($A100)-1))*((($C4="(Все)")+('Парк (SAP)'!$B$11:$B$346=$C4)&gt;0))*((($G4="(Все)")+('Парк (SAP)'!$C$11:$C$346=$G4)&gt;0)))</f>
        <v>336</v>
      </c>
      <c r="F100" s="32">
        <f>SUMPRODUCT((((YEAR('Парк (SAP)'!$H$11:$H$346)*12+MONTH('Парк (SAP)'!$H$11:$H$346)-1)+$C5)&lt;=(YEAR($A100)*12+MONTH($A100)-1))*((($C4="(Все)")+('Парк (SAP)'!$B$11:$B$346=$C4)&gt;0))*((($G4="(Все)")+('Парк (SAP)'!$C$11:$C$346=$G4)&gt;0)))</f>
        <v>336</v>
      </c>
    </row>
    <row r="101">
      <c r="A101" s="43" t="n">
        <v>48122</v>
      </c>
      <c r="B101" s="32">
        <f>SUMPRODUCT(((YEAR('Парк (SAP)'!$H$11:$H$346)*12+MONTH('Парк (SAP)'!$H$11:$H$346)-1)=(YEAR($A101)*12+MONTH($A101)-1))*((($C4="(Все)")+('Парк (SAP)'!$B$11:$B$346=$C4)&gt;0))*((($G4="(Все)")+('Парк (SAP)'!$C$11:$C$346=$G4)&gt;0)))</f>
        <v>0</v>
      </c>
      <c r="C101" s="32">
        <f>E101-F100</f>
        <v>0</v>
      </c>
      <c r="D101" s="32">
        <f>SUMPRODUCT((((YEAR('Парк (SAP)'!$H$11:$H$346)*12+MONTH('Парк (SAP)'!$H$11:$H$346)-1)+$C5)=(YEAR($A101)*12+MONTH($A101)-1))*((($C4="(Все)")+('Парк (SAP)'!$B$11:$B$346=$C4)&gt;0))*((($G4="(Все)")+('Парк (SAP)'!$C$11:$C$346=$G4)&gt;0)))</f>
        <v>0</v>
      </c>
      <c r="E101" s="32">
        <f>SUMPRODUCT(((YEAR('Парк (SAP)'!$H$11:$H$346)*12+MONTH('Парк (SAP)'!$H$11:$H$346)-1)&lt;=(YEAR($A101)*12+MONTH($A101)-1))*((($C4="(Все)")+('Парк (SAP)'!$B$11:$B$346=$C4)&gt;0))*((($G4="(Все)")+('Парк (SAP)'!$C$11:$C$346=$G4)&gt;0)))</f>
        <v>336</v>
      </c>
      <c r="F101" s="32">
        <f>SUMPRODUCT((((YEAR('Парк (SAP)'!$H$11:$H$346)*12+MONTH('Парк (SAP)'!$H$11:$H$346)-1)+$C5)&lt;=(YEAR($A101)*12+MONTH($A101)-1))*((($C4="(Все)")+('Парк (SAP)'!$B$11:$B$346=$C4)&gt;0))*((($G4="(Все)")+('Парк (SAP)'!$C$11:$C$346=$G4)&gt;0)))</f>
        <v>336</v>
      </c>
    </row>
    <row r="102">
      <c r="A102" s="43" t="n">
        <v>48153</v>
      </c>
      <c r="B102" s="32">
        <f>SUMPRODUCT(((YEAR('Парк (SAP)'!$H$11:$H$346)*12+MONTH('Парк (SAP)'!$H$11:$H$346)-1)=(YEAR($A102)*12+MONTH($A102)-1))*((($C4="(Все)")+('Парк (SAP)'!$B$11:$B$346=$C4)&gt;0))*((($G4="(Все)")+('Парк (SAP)'!$C$11:$C$346=$G4)&gt;0)))</f>
        <v>0</v>
      </c>
      <c r="C102" s="32">
        <f>E102-F101</f>
        <v>0</v>
      </c>
      <c r="D102" s="32">
        <f>SUMPRODUCT((((YEAR('Парк (SAP)'!$H$11:$H$346)*12+MONTH('Парк (SAP)'!$H$11:$H$346)-1)+$C5)=(YEAR($A102)*12+MONTH($A102)-1))*((($C4="(Все)")+('Парк (SAP)'!$B$11:$B$346=$C4)&gt;0))*((($G4="(Все)")+('Парк (SAP)'!$C$11:$C$346=$G4)&gt;0)))</f>
        <v>0</v>
      </c>
      <c r="E102" s="32">
        <f>SUMPRODUCT(((YEAR('Парк (SAP)'!$H$11:$H$346)*12+MONTH('Парк (SAP)'!$H$11:$H$346)-1)&lt;=(YEAR($A102)*12+MONTH($A102)-1))*((($C4="(Все)")+('Парк (SAP)'!$B$11:$B$346=$C4)&gt;0))*((($G4="(Все)")+('Парк (SAP)'!$C$11:$C$346=$G4)&gt;0)))</f>
        <v>336</v>
      </c>
      <c r="F102" s="32">
        <f>SUMPRODUCT((((YEAR('Парк (SAP)'!$H$11:$H$346)*12+MONTH('Парк (SAP)'!$H$11:$H$346)-1)+$C5)&lt;=(YEAR($A102)*12+MONTH($A102)-1))*((($C4="(Все)")+('Парк (SAP)'!$B$11:$B$346=$C4)&gt;0))*((($G4="(Все)")+('Парк (SAP)'!$C$11:$C$346=$G4)&gt;0)))</f>
        <v>336</v>
      </c>
    </row>
    <row r="103">
      <c r="A103" s="43" t="n">
        <v>48183</v>
      </c>
      <c r="B103" s="32">
        <f>SUMPRODUCT(((YEAR('Парк (SAP)'!$H$11:$H$346)*12+MONTH('Парк (SAP)'!$H$11:$H$346)-1)=(YEAR($A103)*12+MONTH($A103)-1))*((($C4="(Все)")+('Парк (SAP)'!$B$11:$B$346=$C4)&gt;0))*((($G4="(Все)")+('Парк (SAP)'!$C$11:$C$346=$G4)&gt;0)))</f>
        <v>0</v>
      </c>
      <c r="C103" s="32">
        <f>E103-F102</f>
        <v>0</v>
      </c>
      <c r="D103" s="32">
        <f>SUMPRODUCT((((YEAR('Парк (SAP)'!$H$11:$H$346)*12+MONTH('Парк (SAP)'!$H$11:$H$346)-1)+$C5)=(YEAR($A103)*12+MONTH($A103)-1))*((($C4="(Все)")+('Парк (SAP)'!$B$11:$B$346=$C4)&gt;0))*((($G4="(Все)")+('Парк (SAP)'!$C$11:$C$346=$G4)&gt;0)))</f>
        <v>0</v>
      </c>
      <c r="E103" s="32">
        <f>SUMPRODUCT(((YEAR('Парк (SAP)'!$H$11:$H$346)*12+MONTH('Парк (SAP)'!$H$11:$H$346)-1)&lt;=(YEAR($A103)*12+MONTH($A103)-1))*((($C4="(Все)")+('Парк (SAP)'!$B$11:$B$346=$C4)&gt;0))*((($G4="(Все)")+('Парк (SAP)'!$C$11:$C$346=$G4)&gt;0)))</f>
        <v>336</v>
      </c>
      <c r="F103" s="32">
        <f>SUMPRODUCT((((YEAR('Парк (SAP)'!$H$11:$H$346)*12+MONTH('Парк (SAP)'!$H$11:$H$346)-1)+$C5)&lt;=(YEAR($A103)*12+MONTH($A103)-1))*((($C4="(Все)")+('Парк (SAP)'!$B$11:$B$346=$C4)&gt;0))*((($G4="(Все)")+('Парк (SAP)'!$C$11:$C$346=$G4)&gt;0)))</f>
        <v>336</v>
      </c>
    </row>
    <row r="104">
      <c r="A104" s="35" t="inlineStr">
        <is>
          <t>Всего</t>
        </is>
      </c>
      <c r="B104" s="35">
        <f>SUM(B8:B103)</f>
        <v>336</v>
      </c>
      <c r="C104" s="35">
        <f>SUMPRODUCT(((($C4="(Все)")+('Парк (SAP)'!$B$11:$B$346=$C4)&gt;0))*((($G4="(Все)")+('Парк (SAP)'!$C$11:$C$346=$G4)&gt;0)))</f>
        <v>336</v>
      </c>
      <c r="D104" s="35">
        <f>SUM(D8:D103)</f>
        <v>336</v>
      </c>
      <c r="E104" s="35">
        <f>E103</f>
        <v>336</v>
      </c>
      <c r="F104" s="35">
        <f>F103</f>
        <v>336</v>
      </c>
    </row>
  </sheetData>
  <mergeCells count="6">
    <mergeCell ref="A4:B4"/>
    <mergeCell ref="G4:H4"/>
    <mergeCell ref="A2:H2"/>
    <mergeCell ref="A5:B5"/>
    <mergeCell ref="A1:H1"/>
    <mergeCell ref="C4:D4"/>
  </mergeCells>
  <dataValidations count="2">
    <dataValidation sqref="C4" showDropDown="0" showInputMessage="0" showErrorMessage="0" allowBlank="0" type="list">
      <formula1>"(Все),Полюс Красноярск,Полюс Сухой Лог,Полюс Магадан,Полюс Алдан"</formula1>
    </dataValidation>
    <dataValidation sqref="G4" showDropDown="0" showInputMessage="0" showErrorMessage="0" allowBlank="0" type="list">
      <formula1>"(Все),NTE200,NTE240,TR100"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 ht="24" customHeight="1">
      <c r="A1" s="1" t="inlineStr">
        <is>
          <t>ПОТРЕБНОСТЬ В ОБОРОТНЫХ КОМПОНЕНТАХ ПО МЕСЯЦАМ — ПО КАЖДОЙ ПЛОЩАДКЕ</t>
        </is>
      </c>
    </row>
    <row r="2" ht="44" customHeight="1">
      <c r="A2" s="20" t="inlineStr">
        <is>
          <t>Требуемое кол-во оборотных компонентов = ОКРУГЛ.ВВЕРХ(машин на гарантии / норматив) × норма на комплект, отдельно по каждой площадке и модели. Норматив: 10 самосвалов = 1 комплект. NTE: 1 ДВС + 2 мотор-колеса + 1 силовой генератор. TR100: 1 ДВС + 1 КПП + 2 бортовых редуктора.</t>
        </is>
      </c>
    </row>
    <row r="3">
      <c r="A3" s="21" t="inlineStr">
        <is>
          <t>ПАРАМЕТРЫ (жёлтые ячейки — редактируемые)</t>
        </is>
      </c>
    </row>
    <row r="4">
      <c r="A4" s="22" t="inlineStr">
        <is>
          <t>Самосвалов на 1 комплект</t>
        </is>
      </c>
      <c r="D4" s="24" t="n">
        <v>10</v>
      </c>
    </row>
    <row r="5">
      <c r="A5" s="22" t="inlineStr">
        <is>
          <t>NTE: ДВС на комплект</t>
        </is>
      </c>
      <c r="D5" s="24" t="n">
        <v>1</v>
      </c>
    </row>
    <row r="6">
      <c r="A6" s="22" t="inlineStr">
        <is>
          <t>NTE: Мотор-колёс на комплект</t>
        </is>
      </c>
      <c r="D6" s="24" t="n">
        <v>2</v>
      </c>
    </row>
    <row r="7">
      <c r="A7" s="22" t="inlineStr">
        <is>
          <t>NTE: Силовой генератор на комплект</t>
        </is>
      </c>
      <c r="D7" s="24" t="n">
        <v>1</v>
      </c>
    </row>
    <row r="8">
      <c r="A8" s="22" t="inlineStr">
        <is>
          <t>TR100: ДВС на комплект</t>
        </is>
      </c>
      <c r="D8" s="24" t="n">
        <v>1</v>
      </c>
    </row>
    <row r="9">
      <c r="A9" s="22" t="inlineStr">
        <is>
          <t>TR100: КПП на комплект</t>
        </is>
      </c>
      <c r="D9" s="24" t="n">
        <v>1</v>
      </c>
    </row>
    <row r="10">
      <c r="A10" s="22" t="inlineStr">
        <is>
          <t>TR100: Бортовых редукторов на комплект</t>
        </is>
      </c>
      <c r="D10" s="24" t="n">
        <v>2</v>
      </c>
    </row>
    <row r="12">
      <c r="A12" s="25" t="inlineStr">
        <is>
          <t>Месяц</t>
        </is>
      </c>
      <c r="B12" s="25" t="inlineStr">
        <is>
          <t>Год</t>
        </is>
      </c>
      <c r="C12" s="25" t="inlineStr">
        <is>
          <t>Красноярск</t>
        </is>
      </c>
      <c r="D12" s="37" t="n"/>
      <c r="E12" s="37" t="n"/>
      <c r="F12" s="37" t="n"/>
      <c r="G12" s="37" t="n"/>
      <c r="H12" s="38" t="n"/>
      <c r="I12" s="25" t="inlineStr">
        <is>
          <t>Сухой Лог</t>
        </is>
      </c>
      <c r="J12" s="37" t="n"/>
      <c r="K12" s="37" t="n"/>
      <c r="L12" s="37" t="n"/>
      <c r="M12" s="37" t="n"/>
      <c r="N12" s="38" t="n"/>
      <c r="O12" s="25" t="inlineStr">
        <is>
          <t>Магадан</t>
        </is>
      </c>
      <c r="P12" s="37" t="n"/>
      <c r="Q12" s="37" t="n"/>
      <c r="R12" s="37" t="n"/>
      <c r="S12" s="37" t="n"/>
      <c r="T12" s="38" t="n"/>
      <c r="U12" s="25" t="inlineStr">
        <is>
          <t>Алдан</t>
        </is>
      </c>
      <c r="V12" s="37" t="n"/>
      <c r="W12" s="38" t="n"/>
    </row>
    <row r="13" ht="42" customHeight="1">
      <c r="A13" s="41" t="n"/>
      <c r="B13" s="41" t="n"/>
      <c r="C13" s="28" t="inlineStr">
        <is>
          <t>ДВС
(NTE240)</t>
        </is>
      </c>
      <c r="D13" s="28" t="inlineStr">
        <is>
          <t>Мотор-колесо
(NTE240)</t>
        </is>
      </c>
      <c r="E13" s="28" t="inlineStr">
        <is>
          <t>Силовой генератор
(NTE240)</t>
        </is>
      </c>
      <c r="F13" s="29" t="inlineStr">
        <is>
          <t>ДВС
(TR100)</t>
        </is>
      </c>
      <c r="G13" s="29" t="inlineStr">
        <is>
          <t>КПП
(TR100)</t>
        </is>
      </c>
      <c r="H13" s="29" t="inlineStr">
        <is>
          <t>Бортовой редуктор
(TR100)</t>
        </is>
      </c>
      <c r="I13" s="28" t="inlineStr">
        <is>
          <t>ДВС
(NTE240)</t>
        </is>
      </c>
      <c r="J13" s="28" t="inlineStr">
        <is>
          <t>Мотор-колесо
(NTE240)</t>
        </is>
      </c>
      <c r="K13" s="28" t="inlineStr">
        <is>
          <t>Силовой генератор
(NTE240)</t>
        </is>
      </c>
      <c r="L13" s="29" t="inlineStr">
        <is>
          <t>ДВС
(TR100)</t>
        </is>
      </c>
      <c r="M13" s="29" t="inlineStr">
        <is>
          <t>КПП
(TR100)</t>
        </is>
      </c>
      <c r="N13" s="29" t="inlineStr">
        <is>
          <t>Бортовой редуктор
(TR100)</t>
        </is>
      </c>
      <c r="O13" s="28" t="inlineStr">
        <is>
          <t>ДВС
(NTE200)</t>
        </is>
      </c>
      <c r="P13" s="28" t="inlineStr">
        <is>
          <t>Мотор-колесо
(NTE200)</t>
        </is>
      </c>
      <c r="Q13" s="28" t="inlineStr">
        <is>
          <t>Силовой генератор
(NTE200)</t>
        </is>
      </c>
      <c r="R13" s="29" t="inlineStr">
        <is>
          <t>ДВС
(TR100)</t>
        </is>
      </c>
      <c r="S13" s="29" t="inlineStr">
        <is>
          <t>КПП
(TR100)</t>
        </is>
      </c>
      <c r="T13" s="29" t="inlineStr">
        <is>
          <t>Бортовой редуктор
(TR100)</t>
        </is>
      </c>
      <c r="U13" s="29" t="inlineStr">
        <is>
          <t>ДВС
(TR100)</t>
        </is>
      </c>
      <c r="V13" s="29" t="inlineStr">
        <is>
          <t>КПП
(TR100)</t>
        </is>
      </c>
      <c r="W13" s="29" t="inlineStr">
        <is>
          <t>Бортовой редуктор
(TR100)</t>
        </is>
      </c>
    </row>
    <row r="14">
      <c r="A14" s="31" t="n">
        <v>45323</v>
      </c>
      <c r="B14" s="32">
        <f>YEAR(A14)</f>
        <v>2024</v>
      </c>
      <c r="C14" s="32">
        <f>ROUNDUP('Гарантия (машины)'!C5/$D$4,0)*$D$5</f>
        <v>1</v>
      </c>
      <c r="D14" s="32">
        <f>ROUNDUP('Гарантия (машины)'!C5/$D$4,0)*$D$6</f>
        <v>2</v>
      </c>
      <c r="E14" s="32">
        <f>ROUNDUP('Гарантия (машины)'!C5/$D$4,0)*$D$7</f>
        <v>1</v>
      </c>
      <c r="F14" s="32">
        <f>ROUNDUP('Гарантия (машины)'!D5/$D$4,0)*$D$8</f>
        <v>0</v>
      </c>
      <c r="G14" s="32">
        <f>ROUNDUP('Гарантия (машины)'!D5/$D$4,0)*$D$9</f>
        <v>0</v>
      </c>
      <c r="H14" s="32">
        <f>ROUNDUP('Гарантия (машины)'!D5/$D$4,0)*$D$10</f>
        <v>0</v>
      </c>
      <c r="I14" s="32">
        <f>ROUNDUP('Гарантия (машины)'!E5/$D$4,0)*$D$5</f>
        <v>0</v>
      </c>
      <c r="J14" s="32">
        <f>ROUNDUP('Гарантия (машины)'!E5/$D$4,0)*$D$6</f>
        <v>0</v>
      </c>
      <c r="K14" s="32">
        <f>ROUNDUP('Гарантия (машины)'!E5/$D$4,0)*$D$7</f>
        <v>0</v>
      </c>
      <c r="L14" s="32">
        <f>ROUNDUP('Гарантия (машины)'!F5/$D$4,0)*$D$8</f>
        <v>0</v>
      </c>
      <c r="M14" s="32">
        <f>ROUNDUP('Гарантия (машины)'!F5/$D$4,0)*$D$9</f>
        <v>0</v>
      </c>
      <c r="N14" s="32">
        <f>ROUNDUP('Гарантия (машины)'!F5/$D$4,0)*$D$10</f>
        <v>0</v>
      </c>
      <c r="O14" s="32">
        <f>ROUNDUP('Гарантия (машины)'!G5/$D$4,0)*$D$5</f>
        <v>1</v>
      </c>
      <c r="P14" s="32">
        <f>ROUNDUP('Гарантия (машины)'!G5/$D$4,0)*$D$6</f>
        <v>2</v>
      </c>
      <c r="Q14" s="32">
        <f>ROUNDUP('Гарантия (машины)'!G5/$D$4,0)*$D$7</f>
        <v>1</v>
      </c>
      <c r="R14" s="32">
        <f>ROUNDUP('Гарантия (машины)'!H5/$D$4,0)*$D$8</f>
        <v>0</v>
      </c>
      <c r="S14" s="32">
        <f>ROUNDUP('Гарантия (машины)'!H5/$D$4,0)*$D$9</f>
        <v>0</v>
      </c>
      <c r="T14" s="32">
        <f>ROUNDUP('Гарантия (машины)'!H5/$D$4,0)*$D$10</f>
        <v>0</v>
      </c>
      <c r="U14" s="32">
        <f>ROUNDUP('Гарантия (машины)'!I5/$D$4,0)*$D$8</f>
        <v>1</v>
      </c>
      <c r="V14" s="32">
        <f>ROUNDUP('Гарантия (машины)'!I5/$D$4,0)*$D$9</f>
        <v>1</v>
      </c>
      <c r="W14" s="32">
        <f>ROUNDUP('Гарантия (машины)'!I5/$D$4,0)*$D$10</f>
        <v>2</v>
      </c>
    </row>
    <row r="15">
      <c r="A15" s="31" t="n">
        <v>45352</v>
      </c>
      <c r="B15" s="32">
        <f>YEAR(A15)</f>
        <v>2024</v>
      </c>
      <c r="C15" s="32">
        <f>ROUNDUP('Гарантия (машины)'!C6/$D$4,0)*$D$5</f>
        <v>1</v>
      </c>
      <c r="D15" s="32">
        <f>ROUNDUP('Гарантия (машины)'!C6/$D$4,0)*$D$6</f>
        <v>2</v>
      </c>
      <c r="E15" s="32">
        <f>ROUNDUP('Гарантия (машины)'!C6/$D$4,0)*$D$7</f>
        <v>1</v>
      </c>
      <c r="F15" s="32">
        <f>ROUNDUP('Гарантия (машины)'!D6/$D$4,0)*$D$8</f>
        <v>0</v>
      </c>
      <c r="G15" s="32">
        <f>ROUNDUP('Гарантия (машины)'!D6/$D$4,0)*$D$9</f>
        <v>0</v>
      </c>
      <c r="H15" s="32">
        <f>ROUNDUP('Гарантия (машины)'!D6/$D$4,0)*$D$10</f>
        <v>0</v>
      </c>
      <c r="I15" s="32">
        <f>ROUNDUP('Гарантия (машины)'!E6/$D$4,0)*$D$5</f>
        <v>0</v>
      </c>
      <c r="J15" s="32">
        <f>ROUNDUP('Гарантия (машины)'!E6/$D$4,0)*$D$6</f>
        <v>0</v>
      </c>
      <c r="K15" s="32">
        <f>ROUNDUP('Гарантия (машины)'!E6/$D$4,0)*$D$7</f>
        <v>0</v>
      </c>
      <c r="L15" s="32">
        <f>ROUNDUP('Гарантия (машины)'!F6/$D$4,0)*$D$8</f>
        <v>0</v>
      </c>
      <c r="M15" s="32">
        <f>ROUNDUP('Гарантия (машины)'!F6/$D$4,0)*$D$9</f>
        <v>0</v>
      </c>
      <c r="N15" s="32">
        <f>ROUNDUP('Гарантия (машины)'!F6/$D$4,0)*$D$10</f>
        <v>0</v>
      </c>
      <c r="O15" s="32">
        <f>ROUNDUP('Гарантия (машины)'!G6/$D$4,0)*$D$5</f>
        <v>2</v>
      </c>
      <c r="P15" s="32">
        <f>ROUNDUP('Гарантия (машины)'!G6/$D$4,0)*$D$6</f>
        <v>4</v>
      </c>
      <c r="Q15" s="32">
        <f>ROUNDUP('Гарантия (машины)'!G6/$D$4,0)*$D$7</f>
        <v>2</v>
      </c>
      <c r="R15" s="32">
        <f>ROUNDUP('Гарантия (машины)'!H6/$D$4,0)*$D$8</f>
        <v>0</v>
      </c>
      <c r="S15" s="32">
        <f>ROUNDUP('Гарантия (машины)'!H6/$D$4,0)*$D$9</f>
        <v>0</v>
      </c>
      <c r="T15" s="32">
        <f>ROUNDUP('Гарантия (машины)'!H6/$D$4,0)*$D$10</f>
        <v>0</v>
      </c>
      <c r="U15" s="32">
        <f>ROUNDUP('Гарантия (машины)'!I6/$D$4,0)*$D$8</f>
        <v>1</v>
      </c>
      <c r="V15" s="32">
        <f>ROUNDUP('Гарантия (машины)'!I6/$D$4,0)*$D$9</f>
        <v>1</v>
      </c>
      <c r="W15" s="32">
        <f>ROUNDUP('Гарантия (машины)'!I6/$D$4,0)*$D$10</f>
        <v>2</v>
      </c>
    </row>
    <row r="16">
      <c r="A16" s="31" t="n">
        <v>45383</v>
      </c>
      <c r="B16" s="32">
        <f>YEAR(A16)</f>
        <v>2024</v>
      </c>
      <c r="C16" s="32">
        <f>ROUNDUP('Гарантия (машины)'!C7/$D$4,0)*$D$5</f>
        <v>2</v>
      </c>
      <c r="D16" s="32">
        <f>ROUNDUP('Гарантия (машины)'!C7/$D$4,0)*$D$6</f>
        <v>4</v>
      </c>
      <c r="E16" s="32">
        <f>ROUNDUP('Гарантия (машины)'!C7/$D$4,0)*$D$7</f>
        <v>2</v>
      </c>
      <c r="F16" s="32">
        <f>ROUNDUP('Гарантия (машины)'!D7/$D$4,0)*$D$8</f>
        <v>0</v>
      </c>
      <c r="G16" s="32">
        <f>ROUNDUP('Гарантия (машины)'!D7/$D$4,0)*$D$9</f>
        <v>0</v>
      </c>
      <c r="H16" s="32">
        <f>ROUNDUP('Гарантия (машины)'!D7/$D$4,0)*$D$10</f>
        <v>0</v>
      </c>
      <c r="I16" s="32">
        <f>ROUNDUP('Гарантия (машины)'!E7/$D$4,0)*$D$5</f>
        <v>0</v>
      </c>
      <c r="J16" s="32">
        <f>ROUNDUP('Гарантия (машины)'!E7/$D$4,0)*$D$6</f>
        <v>0</v>
      </c>
      <c r="K16" s="32">
        <f>ROUNDUP('Гарантия (машины)'!E7/$D$4,0)*$D$7</f>
        <v>0</v>
      </c>
      <c r="L16" s="32">
        <f>ROUNDUP('Гарантия (машины)'!F7/$D$4,0)*$D$8</f>
        <v>0</v>
      </c>
      <c r="M16" s="32">
        <f>ROUNDUP('Гарантия (машины)'!F7/$D$4,0)*$D$9</f>
        <v>0</v>
      </c>
      <c r="N16" s="32">
        <f>ROUNDUP('Гарантия (машины)'!F7/$D$4,0)*$D$10</f>
        <v>0</v>
      </c>
      <c r="O16" s="32">
        <f>ROUNDUP('Гарантия (машины)'!G7/$D$4,0)*$D$5</f>
        <v>2</v>
      </c>
      <c r="P16" s="32">
        <f>ROUNDUP('Гарантия (машины)'!G7/$D$4,0)*$D$6</f>
        <v>4</v>
      </c>
      <c r="Q16" s="32">
        <f>ROUNDUP('Гарантия (машины)'!G7/$D$4,0)*$D$7</f>
        <v>2</v>
      </c>
      <c r="R16" s="32">
        <f>ROUNDUP('Гарантия (машины)'!H7/$D$4,0)*$D$8</f>
        <v>0</v>
      </c>
      <c r="S16" s="32">
        <f>ROUNDUP('Гарантия (машины)'!H7/$D$4,0)*$D$9</f>
        <v>0</v>
      </c>
      <c r="T16" s="32">
        <f>ROUNDUP('Гарантия (машины)'!H7/$D$4,0)*$D$10</f>
        <v>0</v>
      </c>
      <c r="U16" s="32">
        <f>ROUNDUP('Гарантия (машины)'!I7/$D$4,0)*$D$8</f>
        <v>1</v>
      </c>
      <c r="V16" s="32">
        <f>ROUNDUP('Гарантия (машины)'!I7/$D$4,0)*$D$9</f>
        <v>1</v>
      </c>
      <c r="W16" s="32">
        <f>ROUNDUP('Гарантия (машины)'!I7/$D$4,0)*$D$10</f>
        <v>2</v>
      </c>
    </row>
    <row r="17">
      <c r="A17" s="31" t="n">
        <v>45413</v>
      </c>
      <c r="B17" s="32">
        <f>YEAR(A17)</f>
        <v>2024</v>
      </c>
      <c r="C17" s="32">
        <f>ROUNDUP('Гарантия (машины)'!C8/$D$4,0)*$D$5</f>
        <v>2</v>
      </c>
      <c r="D17" s="32">
        <f>ROUNDUP('Гарантия (машины)'!C8/$D$4,0)*$D$6</f>
        <v>4</v>
      </c>
      <c r="E17" s="32">
        <f>ROUNDUP('Гарантия (машины)'!C8/$D$4,0)*$D$7</f>
        <v>2</v>
      </c>
      <c r="F17" s="32">
        <f>ROUNDUP('Гарантия (машины)'!D8/$D$4,0)*$D$8</f>
        <v>0</v>
      </c>
      <c r="G17" s="32">
        <f>ROUNDUP('Гарантия (машины)'!D8/$D$4,0)*$D$9</f>
        <v>0</v>
      </c>
      <c r="H17" s="32">
        <f>ROUNDUP('Гарантия (машины)'!D8/$D$4,0)*$D$10</f>
        <v>0</v>
      </c>
      <c r="I17" s="32">
        <f>ROUNDUP('Гарантия (машины)'!E8/$D$4,0)*$D$5</f>
        <v>0</v>
      </c>
      <c r="J17" s="32">
        <f>ROUNDUP('Гарантия (машины)'!E8/$D$4,0)*$D$6</f>
        <v>0</v>
      </c>
      <c r="K17" s="32">
        <f>ROUNDUP('Гарантия (машины)'!E8/$D$4,0)*$D$7</f>
        <v>0</v>
      </c>
      <c r="L17" s="32">
        <f>ROUNDUP('Гарантия (машины)'!F8/$D$4,0)*$D$8</f>
        <v>1</v>
      </c>
      <c r="M17" s="32">
        <f>ROUNDUP('Гарантия (машины)'!F8/$D$4,0)*$D$9</f>
        <v>1</v>
      </c>
      <c r="N17" s="32">
        <f>ROUNDUP('Гарантия (машины)'!F8/$D$4,0)*$D$10</f>
        <v>2</v>
      </c>
      <c r="O17" s="32">
        <f>ROUNDUP('Гарантия (машины)'!G8/$D$4,0)*$D$5</f>
        <v>2</v>
      </c>
      <c r="P17" s="32">
        <f>ROUNDUP('Гарантия (машины)'!G8/$D$4,0)*$D$6</f>
        <v>4</v>
      </c>
      <c r="Q17" s="32">
        <f>ROUNDUP('Гарантия (машины)'!G8/$D$4,0)*$D$7</f>
        <v>2</v>
      </c>
      <c r="R17" s="32">
        <f>ROUNDUP('Гарантия (машины)'!H8/$D$4,0)*$D$8</f>
        <v>0</v>
      </c>
      <c r="S17" s="32">
        <f>ROUNDUP('Гарантия (машины)'!H8/$D$4,0)*$D$9</f>
        <v>0</v>
      </c>
      <c r="T17" s="32">
        <f>ROUNDUP('Гарантия (машины)'!H8/$D$4,0)*$D$10</f>
        <v>0</v>
      </c>
      <c r="U17" s="32">
        <f>ROUNDUP('Гарантия (машины)'!I8/$D$4,0)*$D$8</f>
        <v>1</v>
      </c>
      <c r="V17" s="32">
        <f>ROUNDUP('Гарантия (машины)'!I8/$D$4,0)*$D$9</f>
        <v>1</v>
      </c>
      <c r="W17" s="32">
        <f>ROUNDUP('Гарантия (машины)'!I8/$D$4,0)*$D$10</f>
        <v>2</v>
      </c>
    </row>
    <row r="18">
      <c r="A18" s="31" t="n">
        <v>45444</v>
      </c>
      <c r="B18" s="32">
        <f>YEAR(A18)</f>
        <v>2024</v>
      </c>
      <c r="C18" s="32">
        <f>ROUNDUP('Гарантия (машины)'!C9/$D$4,0)*$D$5</f>
        <v>3</v>
      </c>
      <c r="D18" s="32">
        <f>ROUNDUP('Гарантия (машины)'!C9/$D$4,0)*$D$6</f>
        <v>6</v>
      </c>
      <c r="E18" s="32">
        <f>ROUNDUP('Гарантия (машины)'!C9/$D$4,0)*$D$7</f>
        <v>3</v>
      </c>
      <c r="F18" s="32">
        <f>ROUNDUP('Гарантия (машины)'!D9/$D$4,0)*$D$8</f>
        <v>0</v>
      </c>
      <c r="G18" s="32">
        <f>ROUNDUP('Гарантия (машины)'!D9/$D$4,0)*$D$9</f>
        <v>0</v>
      </c>
      <c r="H18" s="32">
        <f>ROUNDUP('Гарантия (машины)'!D9/$D$4,0)*$D$10</f>
        <v>0</v>
      </c>
      <c r="I18" s="32">
        <f>ROUNDUP('Гарантия (машины)'!E9/$D$4,0)*$D$5</f>
        <v>0</v>
      </c>
      <c r="J18" s="32">
        <f>ROUNDUP('Гарантия (машины)'!E9/$D$4,0)*$D$6</f>
        <v>0</v>
      </c>
      <c r="K18" s="32">
        <f>ROUNDUP('Гарантия (машины)'!E9/$D$4,0)*$D$7</f>
        <v>0</v>
      </c>
      <c r="L18" s="32">
        <f>ROUNDUP('Гарантия (машины)'!F9/$D$4,0)*$D$8</f>
        <v>1</v>
      </c>
      <c r="M18" s="32">
        <f>ROUNDUP('Гарантия (машины)'!F9/$D$4,0)*$D$9</f>
        <v>1</v>
      </c>
      <c r="N18" s="32">
        <f>ROUNDUP('Гарантия (машины)'!F9/$D$4,0)*$D$10</f>
        <v>2</v>
      </c>
      <c r="O18" s="32">
        <f>ROUNDUP('Гарантия (машины)'!G9/$D$4,0)*$D$5</f>
        <v>2</v>
      </c>
      <c r="P18" s="32">
        <f>ROUNDUP('Гарантия (машины)'!G9/$D$4,0)*$D$6</f>
        <v>4</v>
      </c>
      <c r="Q18" s="32">
        <f>ROUNDUP('Гарантия (машины)'!G9/$D$4,0)*$D$7</f>
        <v>2</v>
      </c>
      <c r="R18" s="32">
        <f>ROUNDUP('Гарантия (машины)'!H9/$D$4,0)*$D$8</f>
        <v>0</v>
      </c>
      <c r="S18" s="32">
        <f>ROUNDUP('Гарантия (машины)'!H9/$D$4,0)*$D$9</f>
        <v>0</v>
      </c>
      <c r="T18" s="32">
        <f>ROUNDUP('Гарантия (машины)'!H9/$D$4,0)*$D$10</f>
        <v>0</v>
      </c>
      <c r="U18" s="32">
        <f>ROUNDUP('Гарантия (машины)'!I9/$D$4,0)*$D$8</f>
        <v>1</v>
      </c>
      <c r="V18" s="32">
        <f>ROUNDUP('Гарантия (машины)'!I9/$D$4,0)*$D$9</f>
        <v>1</v>
      </c>
      <c r="W18" s="32">
        <f>ROUNDUP('Гарантия (машины)'!I9/$D$4,0)*$D$10</f>
        <v>2</v>
      </c>
    </row>
    <row r="19">
      <c r="A19" s="31" t="n">
        <v>45474</v>
      </c>
      <c r="B19" s="32">
        <f>YEAR(A19)</f>
        <v>2024</v>
      </c>
      <c r="C19" s="32">
        <f>ROUNDUP('Гарантия (машины)'!C10/$D$4,0)*$D$5</f>
        <v>3</v>
      </c>
      <c r="D19" s="32">
        <f>ROUNDUP('Гарантия (машины)'!C10/$D$4,0)*$D$6</f>
        <v>6</v>
      </c>
      <c r="E19" s="32">
        <f>ROUNDUP('Гарантия (машины)'!C10/$D$4,0)*$D$7</f>
        <v>3</v>
      </c>
      <c r="F19" s="32">
        <f>ROUNDUP('Гарантия (машины)'!D10/$D$4,0)*$D$8</f>
        <v>0</v>
      </c>
      <c r="G19" s="32">
        <f>ROUNDUP('Гарантия (машины)'!D10/$D$4,0)*$D$9</f>
        <v>0</v>
      </c>
      <c r="H19" s="32">
        <f>ROUNDUP('Гарантия (машины)'!D10/$D$4,0)*$D$10</f>
        <v>0</v>
      </c>
      <c r="I19" s="32">
        <f>ROUNDUP('Гарантия (машины)'!E10/$D$4,0)*$D$5</f>
        <v>0</v>
      </c>
      <c r="J19" s="32">
        <f>ROUNDUP('Гарантия (машины)'!E10/$D$4,0)*$D$6</f>
        <v>0</v>
      </c>
      <c r="K19" s="32">
        <f>ROUNDUP('Гарантия (машины)'!E10/$D$4,0)*$D$7</f>
        <v>0</v>
      </c>
      <c r="L19" s="32">
        <f>ROUNDUP('Гарантия (машины)'!F10/$D$4,0)*$D$8</f>
        <v>1</v>
      </c>
      <c r="M19" s="32">
        <f>ROUNDUP('Гарантия (машины)'!F10/$D$4,0)*$D$9</f>
        <v>1</v>
      </c>
      <c r="N19" s="32">
        <f>ROUNDUP('Гарантия (машины)'!F10/$D$4,0)*$D$10</f>
        <v>2</v>
      </c>
      <c r="O19" s="32">
        <f>ROUNDUP('Гарантия (машины)'!G10/$D$4,0)*$D$5</f>
        <v>2</v>
      </c>
      <c r="P19" s="32">
        <f>ROUNDUP('Гарантия (машины)'!G10/$D$4,0)*$D$6</f>
        <v>4</v>
      </c>
      <c r="Q19" s="32">
        <f>ROUNDUP('Гарантия (машины)'!G10/$D$4,0)*$D$7</f>
        <v>2</v>
      </c>
      <c r="R19" s="32">
        <f>ROUNDUP('Гарантия (машины)'!H10/$D$4,0)*$D$8</f>
        <v>0</v>
      </c>
      <c r="S19" s="32">
        <f>ROUNDUP('Гарантия (машины)'!H10/$D$4,0)*$D$9</f>
        <v>0</v>
      </c>
      <c r="T19" s="32">
        <f>ROUNDUP('Гарантия (машины)'!H10/$D$4,0)*$D$10</f>
        <v>0</v>
      </c>
      <c r="U19" s="32">
        <f>ROUNDUP('Гарантия (машины)'!I10/$D$4,0)*$D$8</f>
        <v>1</v>
      </c>
      <c r="V19" s="32">
        <f>ROUNDUP('Гарантия (машины)'!I10/$D$4,0)*$D$9</f>
        <v>1</v>
      </c>
      <c r="W19" s="32">
        <f>ROUNDUP('Гарантия (машины)'!I10/$D$4,0)*$D$10</f>
        <v>2</v>
      </c>
    </row>
    <row r="20">
      <c r="A20" s="31" t="n">
        <v>45505</v>
      </c>
      <c r="B20" s="32">
        <f>YEAR(A20)</f>
        <v>2024</v>
      </c>
      <c r="C20" s="32">
        <f>ROUNDUP('Гарантия (машины)'!C11/$D$4,0)*$D$5</f>
        <v>3</v>
      </c>
      <c r="D20" s="32">
        <f>ROUNDUP('Гарантия (машины)'!C11/$D$4,0)*$D$6</f>
        <v>6</v>
      </c>
      <c r="E20" s="32">
        <f>ROUNDUP('Гарантия (машины)'!C11/$D$4,0)*$D$7</f>
        <v>3</v>
      </c>
      <c r="F20" s="32">
        <f>ROUNDUP('Гарантия (машины)'!D11/$D$4,0)*$D$8</f>
        <v>0</v>
      </c>
      <c r="G20" s="32">
        <f>ROUNDUP('Гарантия (машины)'!D11/$D$4,0)*$D$9</f>
        <v>0</v>
      </c>
      <c r="H20" s="32">
        <f>ROUNDUP('Гарантия (машины)'!D11/$D$4,0)*$D$10</f>
        <v>0</v>
      </c>
      <c r="I20" s="32">
        <f>ROUNDUP('Гарантия (машины)'!E11/$D$4,0)*$D$5</f>
        <v>0</v>
      </c>
      <c r="J20" s="32">
        <f>ROUNDUP('Гарантия (машины)'!E11/$D$4,0)*$D$6</f>
        <v>0</v>
      </c>
      <c r="K20" s="32">
        <f>ROUNDUP('Гарантия (машины)'!E11/$D$4,0)*$D$7</f>
        <v>0</v>
      </c>
      <c r="L20" s="32">
        <f>ROUNDUP('Гарантия (машины)'!F11/$D$4,0)*$D$8</f>
        <v>1</v>
      </c>
      <c r="M20" s="32">
        <f>ROUNDUP('Гарантия (машины)'!F11/$D$4,0)*$D$9</f>
        <v>1</v>
      </c>
      <c r="N20" s="32">
        <f>ROUNDUP('Гарантия (машины)'!F11/$D$4,0)*$D$10</f>
        <v>2</v>
      </c>
      <c r="O20" s="32">
        <f>ROUNDUP('Гарантия (машины)'!G11/$D$4,0)*$D$5</f>
        <v>2</v>
      </c>
      <c r="P20" s="32">
        <f>ROUNDUP('Гарантия (машины)'!G11/$D$4,0)*$D$6</f>
        <v>4</v>
      </c>
      <c r="Q20" s="32">
        <f>ROUNDUP('Гарантия (машины)'!G11/$D$4,0)*$D$7</f>
        <v>2</v>
      </c>
      <c r="R20" s="32">
        <f>ROUNDUP('Гарантия (машины)'!H11/$D$4,0)*$D$8</f>
        <v>0</v>
      </c>
      <c r="S20" s="32">
        <f>ROUNDUP('Гарантия (машины)'!H11/$D$4,0)*$D$9</f>
        <v>0</v>
      </c>
      <c r="T20" s="32">
        <f>ROUNDUP('Гарантия (машины)'!H11/$D$4,0)*$D$10</f>
        <v>0</v>
      </c>
      <c r="U20" s="32">
        <f>ROUNDUP('Гарантия (машины)'!I11/$D$4,0)*$D$8</f>
        <v>1</v>
      </c>
      <c r="V20" s="32">
        <f>ROUNDUP('Гарантия (машины)'!I11/$D$4,0)*$D$9</f>
        <v>1</v>
      </c>
      <c r="W20" s="32">
        <f>ROUNDUP('Гарантия (машины)'!I11/$D$4,0)*$D$10</f>
        <v>2</v>
      </c>
    </row>
    <row r="21">
      <c r="A21" s="31" t="n">
        <v>45536</v>
      </c>
      <c r="B21" s="32">
        <f>YEAR(A21)</f>
        <v>2024</v>
      </c>
      <c r="C21" s="32">
        <f>ROUNDUP('Гарантия (машины)'!C12/$D$4,0)*$D$5</f>
        <v>3</v>
      </c>
      <c r="D21" s="32">
        <f>ROUNDUP('Гарантия (машины)'!C12/$D$4,0)*$D$6</f>
        <v>6</v>
      </c>
      <c r="E21" s="32">
        <f>ROUNDUP('Гарантия (машины)'!C12/$D$4,0)*$D$7</f>
        <v>3</v>
      </c>
      <c r="F21" s="32">
        <f>ROUNDUP('Гарантия (машины)'!D12/$D$4,0)*$D$8</f>
        <v>0</v>
      </c>
      <c r="G21" s="32">
        <f>ROUNDUP('Гарантия (машины)'!D12/$D$4,0)*$D$9</f>
        <v>0</v>
      </c>
      <c r="H21" s="32">
        <f>ROUNDUP('Гарантия (машины)'!D12/$D$4,0)*$D$10</f>
        <v>0</v>
      </c>
      <c r="I21" s="32">
        <f>ROUNDUP('Гарантия (машины)'!E12/$D$4,0)*$D$5</f>
        <v>0</v>
      </c>
      <c r="J21" s="32">
        <f>ROUNDUP('Гарантия (машины)'!E12/$D$4,0)*$D$6</f>
        <v>0</v>
      </c>
      <c r="K21" s="32">
        <f>ROUNDUP('Гарантия (машины)'!E12/$D$4,0)*$D$7</f>
        <v>0</v>
      </c>
      <c r="L21" s="32">
        <f>ROUNDUP('Гарантия (машины)'!F12/$D$4,0)*$D$8</f>
        <v>1</v>
      </c>
      <c r="M21" s="32">
        <f>ROUNDUP('Гарантия (машины)'!F12/$D$4,0)*$D$9</f>
        <v>1</v>
      </c>
      <c r="N21" s="32">
        <f>ROUNDUP('Гарантия (машины)'!F12/$D$4,0)*$D$10</f>
        <v>2</v>
      </c>
      <c r="O21" s="32">
        <f>ROUNDUP('Гарантия (машины)'!G12/$D$4,0)*$D$5</f>
        <v>2</v>
      </c>
      <c r="P21" s="32">
        <f>ROUNDUP('Гарантия (машины)'!G12/$D$4,0)*$D$6</f>
        <v>4</v>
      </c>
      <c r="Q21" s="32">
        <f>ROUNDUP('Гарантия (машины)'!G12/$D$4,0)*$D$7</f>
        <v>2</v>
      </c>
      <c r="R21" s="32">
        <f>ROUNDUP('Гарантия (машины)'!H12/$D$4,0)*$D$8</f>
        <v>0</v>
      </c>
      <c r="S21" s="32">
        <f>ROUNDUP('Гарантия (машины)'!H12/$D$4,0)*$D$9</f>
        <v>0</v>
      </c>
      <c r="T21" s="32">
        <f>ROUNDUP('Гарантия (машины)'!H12/$D$4,0)*$D$10</f>
        <v>0</v>
      </c>
      <c r="U21" s="32">
        <f>ROUNDUP('Гарантия (машины)'!I12/$D$4,0)*$D$8</f>
        <v>1</v>
      </c>
      <c r="V21" s="32">
        <f>ROUNDUP('Гарантия (машины)'!I12/$D$4,0)*$D$9</f>
        <v>1</v>
      </c>
      <c r="W21" s="32">
        <f>ROUNDUP('Гарантия (машины)'!I12/$D$4,0)*$D$10</f>
        <v>2</v>
      </c>
    </row>
    <row r="22">
      <c r="A22" s="31" t="n">
        <v>45566</v>
      </c>
      <c r="B22" s="32">
        <f>YEAR(A22)</f>
        <v>2024</v>
      </c>
      <c r="C22" s="32">
        <f>ROUNDUP('Гарантия (машины)'!C13/$D$4,0)*$D$5</f>
        <v>4</v>
      </c>
      <c r="D22" s="32">
        <f>ROUNDUP('Гарантия (машины)'!C13/$D$4,0)*$D$6</f>
        <v>8</v>
      </c>
      <c r="E22" s="32">
        <f>ROUNDUP('Гарантия (машины)'!C13/$D$4,0)*$D$7</f>
        <v>4</v>
      </c>
      <c r="F22" s="32">
        <f>ROUNDUP('Гарантия (машины)'!D13/$D$4,0)*$D$8</f>
        <v>0</v>
      </c>
      <c r="G22" s="32">
        <f>ROUNDUP('Гарантия (машины)'!D13/$D$4,0)*$D$9</f>
        <v>0</v>
      </c>
      <c r="H22" s="32">
        <f>ROUNDUP('Гарантия (машины)'!D13/$D$4,0)*$D$10</f>
        <v>0</v>
      </c>
      <c r="I22" s="32">
        <f>ROUNDUP('Гарантия (машины)'!E13/$D$4,0)*$D$5</f>
        <v>0</v>
      </c>
      <c r="J22" s="32">
        <f>ROUNDUP('Гарантия (машины)'!E13/$D$4,0)*$D$6</f>
        <v>0</v>
      </c>
      <c r="K22" s="32">
        <f>ROUNDUP('Гарантия (машины)'!E13/$D$4,0)*$D$7</f>
        <v>0</v>
      </c>
      <c r="L22" s="32">
        <f>ROUNDUP('Гарантия (машины)'!F13/$D$4,0)*$D$8</f>
        <v>1</v>
      </c>
      <c r="M22" s="32">
        <f>ROUNDUP('Гарантия (машины)'!F13/$D$4,0)*$D$9</f>
        <v>1</v>
      </c>
      <c r="N22" s="32">
        <f>ROUNDUP('Гарантия (машины)'!F13/$D$4,0)*$D$10</f>
        <v>2</v>
      </c>
      <c r="O22" s="32">
        <f>ROUNDUP('Гарантия (машины)'!G13/$D$4,0)*$D$5</f>
        <v>2</v>
      </c>
      <c r="P22" s="32">
        <f>ROUNDUP('Гарантия (машины)'!G13/$D$4,0)*$D$6</f>
        <v>4</v>
      </c>
      <c r="Q22" s="32">
        <f>ROUNDUP('Гарантия (машины)'!G13/$D$4,0)*$D$7</f>
        <v>2</v>
      </c>
      <c r="R22" s="32">
        <f>ROUNDUP('Гарантия (машины)'!H13/$D$4,0)*$D$8</f>
        <v>0</v>
      </c>
      <c r="S22" s="32">
        <f>ROUNDUP('Гарантия (машины)'!H13/$D$4,0)*$D$9</f>
        <v>0</v>
      </c>
      <c r="T22" s="32">
        <f>ROUNDUP('Гарантия (машины)'!H13/$D$4,0)*$D$10</f>
        <v>0</v>
      </c>
      <c r="U22" s="32">
        <f>ROUNDUP('Гарантия (машины)'!I13/$D$4,0)*$D$8</f>
        <v>1</v>
      </c>
      <c r="V22" s="32">
        <f>ROUNDUP('Гарантия (машины)'!I13/$D$4,0)*$D$9</f>
        <v>1</v>
      </c>
      <c r="W22" s="32">
        <f>ROUNDUP('Гарантия (машины)'!I13/$D$4,0)*$D$10</f>
        <v>2</v>
      </c>
    </row>
    <row r="23">
      <c r="A23" s="31" t="n">
        <v>45597</v>
      </c>
      <c r="B23" s="32">
        <f>YEAR(A23)</f>
        <v>2024</v>
      </c>
      <c r="C23" s="32">
        <f>ROUNDUP('Гарантия (машины)'!C14/$D$4,0)*$D$5</f>
        <v>4</v>
      </c>
      <c r="D23" s="32">
        <f>ROUNDUP('Гарантия (машины)'!C14/$D$4,0)*$D$6</f>
        <v>8</v>
      </c>
      <c r="E23" s="32">
        <f>ROUNDUP('Гарантия (машины)'!C14/$D$4,0)*$D$7</f>
        <v>4</v>
      </c>
      <c r="F23" s="32">
        <f>ROUNDUP('Гарантия (машины)'!D14/$D$4,0)*$D$8</f>
        <v>0</v>
      </c>
      <c r="G23" s="32">
        <f>ROUNDUP('Гарантия (машины)'!D14/$D$4,0)*$D$9</f>
        <v>0</v>
      </c>
      <c r="H23" s="32">
        <f>ROUNDUP('Гарантия (машины)'!D14/$D$4,0)*$D$10</f>
        <v>0</v>
      </c>
      <c r="I23" s="32">
        <f>ROUNDUP('Гарантия (машины)'!E14/$D$4,0)*$D$5</f>
        <v>0</v>
      </c>
      <c r="J23" s="32">
        <f>ROUNDUP('Гарантия (машины)'!E14/$D$4,0)*$D$6</f>
        <v>0</v>
      </c>
      <c r="K23" s="32">
        <f>ROUNDUP('Гарантия (машины)'!E14/$D$4,0)*$D$7</f>
        <v>0</v>
      </c>
      <c r="L23" s="32">
        <f>ROUNDUP('Гарантия (машины)'!F14/$D$4,0)*$D$8</f>
        <v>1</v>
      </c>
      <c r="M23" s="32">
        <f>ROUNDUP('Гарантия (машины)'!F14/$D$4,0)*$D$9</f>
        <v>1</v>
      </c>
      <c r="N23" s="32">
        <f>ROUNDUP('Гарантия (машины)'!F14/$D$4,0)*$D$10</f>
        <v>2</v>
      </c>
      <c r="O23" s="32">
        <f>ROUNDUP('Гарантия (машины)'!G14/$D$4,0)*$D$5</f>
        <v>2</v>
      </c>
      <c r="P23" s="32">
        <f>ROUNDUP('Гарантия (машины)'!G14/$D$4,0)*$D$6</f>
        <v>4</v>
      </c>
      <c r="Q23" s="32">
        <f>ROUNDUP('Гарантия (машины)'!G14/$D$4,0)*$D$7</f>
        <v>2</v>
      </c>
      <c r="R23" s="32">
        <f>ROUNDUP('Гарантия (машины)'!H14/$D$4,0)*$D$8</f>
        <v>0</v>
      </c>
      <c r="S23" s="32">
        <f>ROUNDUP('Гарантия (машины)'!H14/$D$4,0)*$D$9</f>
        <v>0</v>
      </c>
      <c r="T23" s="32">
        <f>ROUNDUP('Гарантия (машины)'!H14/$D$4,0)*$D$10</f>
        <v>0</v>
      </c>
      <c r="U23" s="32">
        <f>ROUNDUP('Гарантия (машины)'!I14/$D$4,0)*$D$8</f>
        <v>1</v>
      </c>
      <c r="V23" s="32">
        <f>ROUNDUP('Гарантия (машины)'!I14/$D$4,0)*$D$9</f>
        <v>1</v>
      </c>
      <c r="W23" s="32">
        <f>ROUNDUP('Гарантия (машины)'!I14/$D$4,0)*$D$10</f>
        <v>2</v>
      </c>
    </row>
    <row r="24">
      <c r="A24" s="31" t="n">
        <v>45627</v>
      </c>
      <c r="B24" s="32">
        <f>YEAR(A24)</f>
        <v>2024</v>
      </c>
      <c r="C24" s="32">
        <f>ROUNDUP('Гарантия (машины)'!C15/$D$4,0)*$D$5</f>
        <v>4</v>
      </c>
      <c r="D24" s="32">
        <f>ROUNDUP('Гарантия (машины)'!C15/$D$4,0)*$D$6</f>
        <v>8</v>
      </c>
      <c r="E24" s="32">
        <f>ROUNDUP('Гарантия (машины)'!C15/$D$4,0)*$D$7</f>
        <v>4</v>
      </c>
      <c r="F24" s="32">
        <f>ROUNDUP('Гарантия (машины)'!D15/$D$4,0)*$D$8</f>
        <v>0</v>
      </c>
      <c r="G24" s="32">
        <f>ROUNDUP('Гарантия (машины)'!D15/$D$4,0)*$D$9</f>
        <v>0</v>
      </c>
      <c r="H24" s="32">
        <f>ROUNDUP('Гарантия (машины)'!D15/$D$4,0)*$D$10</f>
        <v>0</v>
      </c>
      <c r="I24" s="32">
        <f>ROUNDUP('Гарантия (машины)'!E15/$D$4,0)*$D$5</f>
        <v>0</v>
      </c>
      <c r="J24" s="32">
        <f>ROUNDUP('Гарантия (машины)'!E15/$D$4,0)*$D$6</f>
        <v>0</v>
      </c>
      <c r="K24" s="32">
        <f>ROUNDUP('Гарантия (машины)'!E15/$D$4,0)*$D$7</f>
        <v>0</v>
      </c>
      <c r="L24" s="32">
        <f>ROUNDUP('Гарантия (машины)'!F15/$D$4,0)*$D$8</f>
        <v>1</v>
      </c>
      <c r="M24" s="32">
        <f>ROUNDUP('Гарантия (машины)'!F15/$D$4,0)*$D$9</f>
        <v>1</v>
      </c>
      <c r="N24" s="32">
        <f>ROUNDUP('Гарантия (машины)'!F15/$D$4,0)*$D$10</f>
        <v>2</v>
      </c>
      <c r="O24" s="32">
        <f>ROUNDUP('Гарантия (машины)'!G15/$D$4,0)*$D$5</f>
        <v>3</v>
      </c>
      <c r="P24" s="32">
        <f>ROUNDUP('Гарантия (машины)'!G15/$D$4,0)*$D$6</f>
        <v>6</v>
      </c>
      <c r="Q24" s="32">
        <f>ROUNDUP('Гарантия (машины)'!G15/$D$4,0)*$D$7</f>
        <v>3</v>
      </c>
      <c r="R24" s="32">
        <f>ROUNDUP('Гарантия (машины)'!H15/$D$4,0)*$D$8</f>
        <v>0</v>
      </c>
      <c r="S24" s="32">
        <f>ROUNDUP('Гарантия (машины)'!H15/$D$4,0)*$D$9</f>
        <v>0</v>
      </c>
      <c r="T24" s="32">
        <f>ROUNDUP('Гарантия (машины)'!H15/$D$4,0)*$D$10</f>
        <v>0</v>
      </c>
      <c r="U24" s="32">
        <f>ROUNDUP('Гарантия (машины)'!I15/$D$4,0)*$D$8</f>
        <v>1</v>
      </c>
      <c r="V24" s="32">
        <f>ROUNDUP('Гарантия (машины)'!I15/$D$4,0)*$D$9</f>
        <v>1</v>
      </c>
      <c r="W24" s="32">
        <f>ROUNDUP('Гарантия (машины)'!I15/$D$4,0)*$D$10</f>
        <v>2</v>
      </c>
    </row>
    <row r="25">
      <c r="A25" s="31" t="n">
        <v>45658</v>
      </c>
      <c r="B25" s="32">
        <f>YEAR(A25)</f>
        <v>2025</v>
      </c>
      <c r="C25" s="32">
        <f>ROUNDUP('Гарантия (машины)'!C16/$D$4,0)*$D$5</f>
        <v>4</v>
      </c>
      <c r="D25" s="32">
        <f>ROUNDUP('Гарантия (машины)'!C16/$D$4,0)*$D$6</f>
        <v>8</v>
      </c>
      <c r="E25" s="32">
        <f>ROUNDUP('Гарантия (машины)'!C16/$D$4,0)*$D$7</f>
        <v>4</v>
      </c>
      <c r="F25" s="32">
        <f>ROUNDUP('Гарантия (машины)'!D16/$D$4,0)*$D$8</f>
        <v>0</v>
      </c>
      <c r="G25" s="32">
        <f>ROUNDUP('Гарантия (машины)'!D16/$D$4,0)*$D$9</f>
        <v>0</v>
      </c>
      <c r="H25" s="32">
        <f>ROUNDUP('Гарантия (машины)'!D16/$D$4,0)*$D$10</f>
        <v>0</v>
      </c>
      <c r="I25" s="32">
        <f>ROUNDUP('Гарантия (машины)'!E16/$D$4,0)*$D$5</f>
        <v>0</v>
      </c>
      <c r="J25" s="32">
        <f>ROUNDUP('Гарантия (машины)'!E16/$D$4,0)*$D$6</f>
        <v>0</v>
      </c>
      <c r="K25" s="32">
        <f>ROUNDUP('Гарантия (машины)'!E16/$D$4,0)*$D$7</f>
        <v>0</v>
      </c>
      <c r="L25" s="32">
        <f>ROUNDUP('Гарантия (машины)'!F16/$D$4,0)*$D$8</f>
        <v>1</v>
      </c>
      <c r="M25" s="32">
        <f>ROUNDUP('Гарантия (машины)'!F16/$D$4,0)*$D$9</f>
        <v>1</v>
      </c>
      <c r="N25" s="32">
        <f>ROUNDUP('Гарантия (машины)'!F16/$D$4,0)*$D$10</f>
        <v>2</v>
      </c>
      <c r="O25" s="32">
        <f>ROUNDUP('Гарантия (машины)'!G16/$D$4,0)*$D$5</f>
        <v>3</v>
      </c>
      <c r="P25" s="32">
        <f>ROUNDUP('Гарантия (машины)'!G16/$D$4,0)*$D$6</f>
        <v>6</v>
      </c>
      <c r="Q25" s="32">
        <f>ROUNDUP('Гарантия (машины)'!G16/$D$4,0)*$D$7</f>
        <v>3</v>
      </c>
      <c r="R25" s="32">
        <f>ROUNDUP('Гарантия (машины)'!H16/$D$4,0)*$D$8</f>
        <v>0</v>
      </c>
      <c r="S25" s="32">
        <f>ROUNDUP('Гарантия (машины)'!H16/$D$4,0)*$D$9</f>
        <v>0</v>
      </c>
      <c r="T25" s="32">
        <f>ROUNDUP('Гарантия (машины)'!H16/$D$4,0)*$D$10</f>
        <v>0</v>
      </c>
      <c r="U25" s="32">
        <f>ROUNDUP('Гарантия (машины)'!I16/$D$4,0)*$D$8</f>
        <v>1</v>
      </c>
      <c r="V25" s="32">
        <f>ROUNDUP('Гарантия (машины)'!I16/$D$4,0)*$D$9</f>
        <v>1</v>
      </c>
      <c r="W25" s="32">
        <f>ROUNDUP('Гарантия (машины)'!I16/$D$4,0)*$D$10</f>
        <v>2</v>
      </c>
    </row>
    <row r="26">
      <c r="A26" s="31" t="n">
        <v>45689</v>
      </c>
      <c r="B26" s="32">
        <f>YEAR(A26)</f>
        <v>2025</v>
      </c>
      <c r="C26" s="32">
        <f>ROUNDUP('Гарантия (машины)'!C17/$D$4,0)*$D$5</f>
        <v>5</v>
      </c>
      <c r="D26" s="32">
        <f>ROUNDUP('Гарантия (машины)'!C17/$D$4,0)*$D$6</f>
        <v>10</v>
      </c>
      <c r="E26" s="32">
        <f>ROUNDUP('Гарантия (машины)'!C17/$D$4,0)*$D$7</f>
        <v>5</v>
      </c>
      <c r="F26" s="32">
        <f>ROUNDUP('Гарантия (машины)'!D17/$D$4,0)*$D$8</f>
        <v>0</v>
      </c>
      <c r="G26" s="32">
        <f>ROUNDUP('Гарантия (машины)'!D17/$D$4,0)*$D$9</f>
        <v>0</v>
      </c>
      <c r="H26" s="32">
        <f>ROUNDUP('Гарантия (машины)'!D17/$D$4,0)*$D$10</f>
        <v>0</v>
      </c>
      <c r="I26" s="32">
        <f>ROUNDUP('Гарантия (машины)'!E17/$D$4,0)*$D$5</f>
        <v>0</v>
      </c>
      <c r="J26" s="32">
        <f>ROUNDUP('Гарантия (машины)'!E17/$D$4,0)*$D$6</f>
        <v>0</v>
      </c>
      <c r="K26" s="32">
        <f>ROUNDUP('Гарантия (машины)'!E17/$D$4,0)*$D$7</f>
        <v>0</v>
      </c>
      <c r="L26" s="32">
        <f>ROUNDUP('Гарантия (машины)'!F17/$D$4,0)*$D$8</f>
        <v>1</v>
      </c>
      <c r="M26" s="32">
        <f>ROUNDUP('Гарантия (машины)'!F17/$D$4,0)*$D$9</f>
        <v>1</v>
      </c>
      <c r="N26" s="32">
        <f>ROUNDUP('Гарантия (машины)'!F17/$D$4,0)*$D$10</f>
        <v>2</v>
      </c>
      <c r="O26" s="32">
        <f>ROUNDUP('Гарантия (машины)'!G17/$D$4,0)*$D$5</f>
        <v>4</v>
      </c>
      <c r="P26" s="32">
        <f>ROUNDUP('Гарантия (машины)'!G17/$D$4,0)*$D$6</f>
        <v>8</v>
      </c>
      <c r="Q26" s="32">
        <f>ROUNDUP('Гарантия (машины)'!G17/$D$4,0)*$D$7</f>
        <v>4</v>
      </c>
      <c r="R26" s="32">
        <f>ROUNDUP('Гарантия (машины)'!H17/$D$4,0)*$D$8</f>
        <v>0</v>
      </c>
      <c r="S26" s="32">
        <f>ROUNDUP('Гарантия (машины)'!H17/$D$4,0)*$D$9</f>
        <v>0</v>
      </c>
      <c r="T26" s="32">
        <f>ROUNDUP('Гарантия (машины)'!H17/$D$4,0)*$D$10</f>
        <v>0</v>
      </c>
      <c r="U26" s="32">
        <f>ROUNDUP('Гарантия (машины)'!I17/$D$4,0)*$D$8</f>
        <v>1</v>
      </c>
      <c r="V26" s="32">
        <f>ROUNDUP('Гарантия (машины)'!I17/$D$4,0)*$D$9</f>
        <v>1</v>
      </c>
      <c r="W26" s="32">
        <f>ROUNDUP('Гарантия (машины)'!I17/$D$4,0)*$D$10</f>
        <v>2</v>
      </c>
    </row>
    <row r="27">
      <c r="A27" s="31" t="n">
        <v>45717</v>
      </c>
      <c r="B27" s="32">
        <f>YEAR(A27)</f>
        <v>2025</v>
      </c>
      <c r="C27" s="32">
        <f>ROUNDUP('Гарантия (машины)'!C18/$D$4,0)*$D$5</f>
        <v>5</v>
      </c>
      <c r="D27" s="32">
        <f>ROUNDUP('Гарантия (машины)'!C18/$D$4,0)*$D$6</f>
        <v>10</v>
      </c>
      <c r="E27" s="32">
        <f>ROUNDUP('Гарантия (машины)'!C18/$D$4,0)*$D$7</f>
        <v>5</v>
      </c>
      <c r="F27" s="32">
        <f>ROUNDUP('Гарантия (машины)'!D18/$D$4,0)*$D$8</f>
        <v>0</v>
      </c>
      <c r="G27" s="32">
        <f>ROUNDUP('Гарантия (машины)'!D18/$D$4,0)*$D$9</f>
        <v>0</v>
      </c>
      <c r="H27" s="32">
        <f>ROUNDUP('Гарантия (машины)'!D18/$D$4,0)*$D$10</f>
        <v>0</v>
      </c>
      <c r="I27" s="32">
        <f>ROUNDUP('Гарантия (машины)'!E18/$D$4,0)*$D$5</f>
        <v>0</v>
      </c>
      <c r="J27" s="32">
        <f>ROUNDUP('Гарантия (машины)'!E18/$D$4,0)*$D$6</f>
        <v>0</v>
      </c>
      <c r="K27" s="32">
        <f>ROUNDUP('Гарантия (машины)'!E18/$D$4,0)*$D$7</f>
        <v>0</v>
      </c>
      <c r="L27" s="32">
        <f>ROUNDUP('Гарантия (машины)'!F18/$D$4,0)*$D$8</f>
        <v>1</v>
      </c>
      <c r="M27" s="32">
        <f>ROUNDUP('Гарантия (машины)'!F18/$D$4,0)*$D$9</f>
        <v>1</v>
      </c>
      <c r="N27" s="32">
        <f>ROUNDUP('Гарантия (машины)'!F18/$D$4,0)*$D$10</f>
        <v>2</v>
      </c>
      <c r="O27" s="32">
        <f>ROUNDUP('Гарантия (машины)'!G18/$D$4,0)*$D$5</f>
        <v>3</v>
      </c>
      <c r="P27" s="32">
        <f>ROUNDUP('Гарантия (машины)'!G18/$D$4,0)*$D$6</f>
        <v>6</v>
      </c>
      <c r="Q27" s="32">
        <f>ROUNDUP('Гарантия (машины)'!G18/$D$4,0)*$D$7</f>
        <v>3</v>
      </c>
      <c r="R27" s="32">
        <f>ROUNDUP('Гарантия (машины)'!H18/$D$4,0)*$D$8</f>
        <v>0</v>
      </c>
      <c r="S27" s="32">
        <f>ROUNDUP('Гарантия (машины)'!H18/$D$4,0)*$D$9</f>
        <v>0</v>
      </c>
      <c r="T27" s="32">
        <f>ROUNDUP('Гарантия (машины)'!H18/$D$4,0)*$D$10</f>
        <v>0</v>
      </c>
      <c r="U27" s="32">
        <f>ROUNDUP('Гарантия (машины)'!I18/$D$4,0)*$D$8</f>
        <v>1</v>
      </c>
      <c r="V27" s="32">
        <f>ROUNDUP('Гарантия (машины)'!I18/$D$4,0)*$D$9</f>
        <v>1</v>
      </c>
      <c r="W27" s="32">
        <f>ROUNDUP('Гарантия (машины)'!I18/$D$4,0)*$D$10</f>
        <v>2</v>
      </c>
    </row>
    <row r="28">
      <c r="A28" s="31" t="n">
        <v>45748</v>
      </c>
      <c r="B28" s="32">
        <f>YEAR(A28)</f>
        <v>2025</v>
      </c>
      <c r="C28" s="32">
        <f>ROUNDUP('Гарантия (машины)'!C19/$D$4,0)*$D$5</f>
        <v>5</v>
      </c>
      <c r="D28" s="32">
        <f>ROUNDUP('Гарантия (машины)'!C19/$D$4,0)*$D$6</f>
        <v>10</v>
      </c>
      <c r="E28" s="32">
        <f>ROUNDUP('Гарантия (машины)'!C19/$D$4,0)*$D$7</f>
        <v>5</v>
      </c>
      <c r="F28" s="32">
        <f>ROUNDUP('Гарантия (машины)'!D19/$D$4,0)*$D$8</f>
        <v>0</v>
      </c>
      <c r="G28" s="32">
        <f>ROUNDUP('Гарантия (машины)'!D19/$D$4,0)*$D$9</f>
        <v>0</v>
      </c>
      <c r="H28" s="32">
        <f>ROUNDUP('Гарантия (машины)'!D19/$D$4,0)*$D$10</f>
        <v>0</v>
      </c>
      <c r="I28" s="32">
        <f>ROUNDUP('Гарантия (машины)'!E19/$D$4,0)*$D$5</f>
        <v>0</v>
      </c>
      <c r="J28" s="32">
        <f>ROUNDUP('Гарантия (машины)'!E19/$D$4,0)*$D$6</f>
        <v>0</v>
      </c>
      <c r="K28" s="32">
        <f>ROUNDUP('Гарантия (машины)'!E19/$D$4,0)*$D$7</f>
        <v>0</v>
      </c>
      <c r="L28" s="32">
        <f>ROUNDUP('Гарантия (машины)'!F19/$D$4,0)*$D$8</f>
        <v>1</v>
      </c>
      <c r="M28" s="32">
        <f>ROUNDUP('Гарантия (машины)'!F19/$D$4,0)*$D$9</f>
        <v>1</v>
      </c>
      <c r="N28" s="32">
        <f>ROUNDUP('Гарантия (машины)'!F19/$D$4,0)*$D$10</f>
        <v>2</v>
      </c>
      <c r="O28" s="32">
        <f>ROUNDUP('Гарантия (машины)'!G19/$D$4,0)*$D$5</f>
        <v>3</v>
      </c>
      <c r="P28" s="32">
        <f>ROUNDUP('Гарантия (машины)'!G19/$D$4,0)*$D$6</f>
        <v>6</v>
      </c>
      <c r="Q28" s="32">
        <f>ROUNDUP('Гарантия (машины)'!G19/$D$4,0)*$D$7</f>
        <v>3</v>
      </c>
      <c r="R28" s="32">
        <f>ROUNDUP('Гарантия (машины)'!H19/$D$4,0)*$D$8</f>
        <v>0</v>
      </c>
      <c r="S28" s="32">
        <f>ROUNDUP('Гарантия (машины)'!H19/$D$4,0)*$D$9</f>
        <v>0</v>
      </c>
      <c r="T28" s="32">
        <f>ROUNDUP('Гарантия (машины)'!H19/$D$4,0)*$D$10</f>
        <v>0</v>
      </c>
      <c r="U28" s="32">
        <f>ROUNDUP('Гарантия (машины)'!I19/$D$4,0)*$D$8</f>
        <v>2</v>
      </c>
      <c r="V28" s="32">
        <f>ROUNDUP('Гарантия (машины)'!I19/$D$4,0)*$D$9</f>
        <v>2</v>
      </c>
      <c r="W28" s="32">
        <f>ROUNDUP('Гарантия (машины)'!I19/$D$4,0)*$D$10</f>
        <v>4</v>
      </c>
    </row>
    <row r="29">
      <c r="A29" s="31" t="n">
        <v>45778</v>
      </c>
      <c r="B29" s="32">
        <f>YEAR(A29)</f>
        <v>2025</v>
      </c>
      <c r="C29" s="32">
        <f>ROUNDUP('Гарантия (машины)'!C20/$D$4,0)*$D$5</f>
        <v>5</v>
      </c>
      <c r="D29" s="32">
        <f>ROUNDUP('Гарантия (машины)'!C20/$D$4,0)*$D$6</f>
        <v>10</v>
      </c>
      <c r="E29" s="32">
        <f>ROUNDUP('Гарантия (машины)'!C20/$D$4,0)*$D$7</f>
        <v>5</v>
      </c>
      <c r="F29" s="32">
        <f>ROUNDUP('Гарантия (машины)'!D20/$D$4,0)*$D$8</f>
        <v>0</v>
      </c>
      <c r="G29" s="32">
        <f>ROUNDUP('Гарантия (машины)'!D20/$D$4,0)*$D$9</f>
        <v>0</v>
      </c>
      <c r="H29" s="32">
        <f>ROUNDUP('Гарантия (машины)'!D20/$D$4,0)*$D$10</f>
        <v>0</v>
      </c>
      <c r="I29" s="32">
        <f>ROUNDUP('Гарантия (машины)'!E20/$D$4,0)*$D$5</f>
        <v>0</v>
      </c>
      <c r="J29" s="32">
        <f>ROUNDUP('Гарантия (машины)'!E20/$D$4,0)*$D$6</f>
        <v>0</v>
      </c>
      <c r="K29" s="32">
        <f>ROUNDUP('Гарантия (машины)'!E20/$D$4,0)*$D$7</f>
        <v>0</v>
      </c>
      <c r="L29" s="32">
        <f>ROUNDUP('Гарантия (машины)'!F20/$D$4,0)*$D$8</f>
        <v>1</v>
      </c>
      <c r="M29" s="32">
        <f>ROUNDUP('Гарантия (машины)'!F20/$D$4,0)*$D$9</f>
        <v>1</v>
      </c>
      <c r="N29" s="32">
        <f>ROUNDUP('Гарантия (машины)'!F20/$D$4,0)*$D$10</f>
        <v>2</v>
      </c>
      <c r="O29" s="32">
        <f>ROUNDUP('Гарантия (машины)'!G20/$D$4,0)*$D$5</f>
        <v>2</v>
      </c>
      <c r="P29" s="32">
        <f>ROUNDUP('Гарантия (машины)'!G20/$D$4,0)*$D$6</f>
        <v>4</v>
      </c>
      <c r="Q29" s="32">
        <f>ROUNDUP('Гарантия (машины)'!G20/$D$4,0)*$D$7</f>
        <v>2</v>
      </c>
      <c r="R29" s="32">
        <f>ROUNDUP('Гарантия (машины)'!H20/$D$4,0)*$D$8</f>
        <v>0</v>
      </c>
      <c r="S29" s="32">
        <f>ROUNDUP('Гарантия (машины)'!H20/$D$4,0)*$D$9</f>
        <v>0</v>
      </c>
      <c r="T29" s="32">
        <f>ROUNDUP('Гарантия (машины)'!H20/$D$4,0)*$D$10</f>
        <v>0</v>
      </c>
      <c r="U29" s="32">
        <f>ROUNDUP('Гарантия (машины)'!I20/$D$4,0)*$D$8</f>
        <v>2</v>
      </c>
      <c r="V29" s="32">
        <f>ROUNDUP('Гарантия (машины)'!I20/$D$4,0)*$D$9</f>
        <v>2</v>
      </c>
      <c r="W29" s="32">
        <f>ROUNDUP('Гарантия (машины)'!I20/$D$4,0)*$D$10</f>
        <v>4</v>
      </c>
    </row>
    <row r="30">
      <c r="A30" s="31" t="n">
        <v>45809</v>
      </c>
      <c r="B30" s="32">
        <f>YEAR(A30)</f>
        <v>2025</v>
      </c>
      <c r="C30" s="32">
        <f>ROUNDUP('Гарантия (машины)'!C21/$D$4,0)*$D$5</f>
        <v>4</v>
      </c>
      <c r="D30" s="32">
        <f>ROUNDUP('Гарантия (машины)'!C21/$D$4,0)*$D$6</f>
        <v>8</v>
      </c>
      <c r="E30" s="32">
        <f>ROUNDUP('Гарантия (машины)'!C21/$D$4,0)*$D$7</f>
        <v>4</v>
      </c>
      <c r="F30" s="32">
        <f>ROUNDUP('Гарантия (машины)'!D21/$D$4,0)*$D$8</f>
        <v>0</v>
      </c>
      <c r="G30" s="32">
        <f>ROUNDUP('Гарантия (машины)'!D21/$D$4,0)*$D$9</f>
        <v>0</v>
      </c>
      <c r="H30" s="32">
        <f>ROUNDUP('Гарантия (машины)'!D21/$D$4,0)*$D$10</f>
        <v>0</v>
      </c>
      <c r="I30" s="32">
        <f>ROUNDUP('Гарантия (машины)'!E21/$D$4,0)*$D$5</f>
        <v>0</v>
      </c>
      <c r="J30" s="32">
        <f>ROUNDUP('Гарантия (машины)'!E21/$D$4,0)*$D$6</f>
        <v>0</v>
      </c>
      <c r="K30" s="32">
        <f>ROUNDUP('Гарантия (машины)'!E21/$D$4,0)*$D$7</f>
        <v>0</v>
      </c>
      <c r="L30" s="32">
        <f>ROUNDUP('Гарантия (машины)'!F21/$D$4,0)*$D$8</f>
        <v>1</v>
      </c>
      <c r="M30" s="32">
        <f>ROUNDUP('Гарантия (машины)'!F21/$D$4,0)*$D$9</f>
        <v>1</v>
      </c>
      <c r="N30" s="32">
        <f>ROUNDUP('Гарантия (машины)'!F21/$D$4,0)*$D$10</f>
        <v>2</v>
      </c>
      <c r="O30" s="32">
        <f>ROUNDUP('Гарантия (машины)'!G21/$D$4,0)*$D$5</f>
        <v>2</v>
      </c>
      <c r="P30" s="32">
        <f>ROUNDUP('Гарантия (машины)'!G21/$D$4,0)*$D$6</f>
        <v>4</v>
      </c>
      <c r="Q30" s="32">
        <f>ROUNDUP('Гарантия (машины)'!G21/$D$4,0)*$D$7</f>
        <v>2</v>
      </c>
      <c r="R30" s="32">
        <f>ROUNDUP('Гарантия (машины)'!H21/$D$4,0)*$D$8</f>
        <v>0</v>
      </c>
      <c r="S30" s="32">
        <f>ROUNDUP('Гарантия (машины)'!H21/$D$4,0)*$D$9</f>
        <v>0</v>
      </c>
      <c r="T30" s="32">
        <f>ROUNDUP('Гарантия (машины)'!H21/$D$4,0)*$D$10</f>
        <v>0</v>
      </c>
      <c r="U30" s="32">
        <f>ROUNDUP('Гарантия (машины)'!I21/$D$4,0)*$D$8</f>
        <v>2</v>
      </c>
      <c r="V30" s="32">
        <f>ROUNDUP('Гарантия (машины)'!I21/$D$4,0)*$D$9</f>
        <v>2</v>
      </c>
      <c r="W30" s="32">
        <f>ROUNDUP('Гарантия (машины)'!I21/$D$4,0)*$D$10</f>
        <v>4</v>
      </c>
    </row>
    <row r="31">
      <c r="A31" s="31" t="n">
        <v>45839</v>
      </c>
      <c r="B31" s="32">
        <f>YEAR(A31)</f>
        <v>2025</v>
      </c>
      <c r="C31" s="32">
        <f>ROUNDUP('Гарантия (машины)'!C22/$D$4,0)*$D$5</f>
        <v>4</v>
      </c>
      <c r="D31" s="32">
        <f>ROUNDUP('Гарантия (машины)'!C22/$D$4,0)*$D$6</f>
        <v>8</v>
      </c>
      <c r="E31" s="32">
        <f>ROUNDUP('Гарантия (машины)'!C22/$D$4,0)*$D$7</f>
        <v>4</v>
      </c>
      <c r="F31" s="32">
        <f>ROUNDUP('Гарантия (машины)'!D22/$D$4,0)*$D$8</f>
        <v>0</v>
      </c>
      <c r="G31" s="32">
        <f>ROUNDUP('Гарантия (машины)'!D22/$D$4,0)*$D$9</f>
        <v>0</v>
      </c>
      <c r="H31" s="32">
        <f>ROUNDUP('Гарантия (машины)'!D22/$D$4,0)*$D$10</f>
        <v>0</v>
      </c>
      <c r="I31" s="32">
        <f>ROUNDUP('Гарантия (машины)'!E22/$D$4,0)*$D$5</f>
        <v>0</v>
      </c>
      <c r="J31" s="32">
        <f>ROUNDUP('Гарантия (машины)'!E22/$D$4,0)*$D$6</f>
        <v>0</v>
      </c>
      <c r="K31" s="32">
        <f>ROUNDUP('Гарантия (машины)'!E22/$D$4,0)*$D$7</f>
        <v>0</v>
      </c>
      <c r="L31" s="32">
        <f>ROUNDUP('Гарантия (машины)'!F22/$D$4,0)*$D$8</f>
        <v>1</v>
      </c>
      <c r="M31" s="32">
        <f>ROUNDUP('Гарантия (машины)'!F22/$D$4,0)*$D$9</f>
        <v>1</v>
      </c>
      <c r="N31" s="32">
        <f>ROUNDUP('Гарантия (машины)'!F22/$D$4,0)*$D$10</f>
        <v>2</v>
      </c>
      <c r="O31" s="32">
        <f>ROUNDUP('Гарантия (машины)'!G22/$D$4,0)*$D$5</f>
        <v>2</v>
      </c>
      <c r="P31" s="32">
        <f>ROUNDUP('Гарантия (машины)'!G22/$D$4,0)*$D$6</f>
        <v>4</v>
      </c>
      <c r="Q31" s="32">
        <f>ROUNDUP('Гарантия (машины)'!G22/$D$4,0)*$D$7</f>
        <v>2</v>
      </c>
      <c r="R31" s="32">
        <f>ROUNDUP('Гарантия (машины)'!H22/$D$4,0)*$D$8</f>
        <v>0</v>
      </c>
      <c r="S31" s="32">
        <f>ROUNDUP('Гарантия (машины)'!H22/$D$4,0)*$D$9</f>
        <v>0</v>
      </c>
      <c r="T31" s="32">
        <f>ROUNDUP('Гарантия (машины)'!H22/$D$4,0)*$D$10</f>
        <v>0</v>
      </c>
      <c r="U31" s="32">
        <f>ROUNDUP('Гарантия (машины)'!I22/$D$4,0)*$D$8</f>
        <v>2</v>
      </c>
      <c r="V31" s="32">
        <f>ROUNDUP('Гарантия (машины)'!I22/$D$4,0)*$D$9</f>
        <v>2</v>
      </c>
      <c r="W31" s="32">
        <f>ROUNDUP('Гарантия (машины)'!I22/$D$4,0)*$D$10</f>
        <v>4</v>
      </c>
    </row>
    <row r="32">
      <c r="A32" s="31" t="n">
        <v>45870</v>
      </c>
      <c r="B32" s="32">
        <f>YEAR(A32)</f>
        <v>2025</v>
      </c>
      <c r="C32" s="32">
        <f>ROUNDUP('Гарантия (машины)'!C23/$D$4,0)*$D$5</f>
        <v>5</v>
      </c>
      <c r="D32" s="32">
        <f>ROUNDUP('Гарантия (машины)'!C23/$D$4,0)*$D$6</f>
        <v>10</v>
      </c>
      <c r="E32" s="32">
        <f>ROUNDUP('Гарантия (машины)'!C23/$D$4,0)*$D$7</f>
        <v>5</v>
      </c>
      <c r="F32" s="32">
        <f>ROUNDUP('Гарантия (машины)'!D23/$D$4,0)*$D$8</f>
        <v>0</v>
      </c>
      <c r="G32" s="32">
        <f>ROUNDUP('Гарантия (машины)'!D23/$D$4,0)*$D$9</f>
        <v>0</v>
      </c>
      <c r="H32" s="32">
        <f>ROUNDUP('Гарантия (машины)'!D23/$D$4,0)*$D$10</f>
        <v>0</v>
      </c>
      <c r="I32" s="32">
        <f>ROUNDUP('Гарантия (машины)'!E23/$D$4,0)*$D$5</f>
        <v>0</v>
      </c>
      <c r="J32" s="32">
        <f>ROUNDUP('Гарантия (машины)'!E23/$D$4,0)*$D$6</f>
        <v>0</v>
      </c>
      <c r="K32" s="32">
        <f>ROUNDUP('Гарантия (машины)'!E23/$D$4,0)*$D$7</f>
        <v>0</v>
      </c>
      <c r="L32" s="32">
        <f>ROUNDUP('Гарантия (машины)'!F23/$D$4,0)*$D$8</f>
        <v>1</v>
      </c>
      <c r="M32" s="32">
        <f>ROUNDUP('Гарантия (машины)'!F23/$D$4,0)*$D$9</f>
        <v>1</v>
      </c>
      <c r="N32" s="32">
        <f>ROUNDUP('Гарантия (машины)'!F23/$D$4,0)*$D$10</f>
        <v>2</v>
      </c>
      <c r="O32" s="32">
        <f>ROUNDUP('Гарантия (машины)'!G23/$D$4,0)*$D$5</f>
        <v>2</v>
      </c>
      <c r="P32" s="32">
        <f>ROUNDUP('Гарантия (машины)'!G23/$D$4,0)*$D$6</f>
        <v>4</v>
      </c>
      <c r="Q32" s="32">
        <f>ROUNDUP('Гарантия (машины)'!G23/$D$4,0)*$D$7</f>
        <v>2</v>
      </c>
      <c r="R32" s="32">
        <f>ROUNDUP('Гарантия (машины)'!H23/$D$4,0)*$D$8</f>
        <v>0</v>
      </c>
      <c r="S32" s="32">
        <f>ROUNDUP('Гарантия (машины)'!H23/$D$4,0)*$D$9</f>
        <v>0</v>
      </c>
      <c r="T32" s="32">
        <f>ROUNDUP('Гарантия (машины)'!H23/$D$4,0)*$D$10</f>
        <v>0</v>
      </c>
      <c r="U32" s="32">
        <f>ROUNDUP('Гарантия (машины)'!I23/$D$4,0)*$D$8</f>
        <v>2</v>
      </c>
      <c r="V32" s="32">
        <f>ROUNDUP('Гарантия (машины)'!I23/$D$4,0)*$D$9</f>
        <v>2</v>
      </c>
      <c r="W32" s="32">
        <f>ROUNDUP('Гарантия (машины)'!I23/$D$4,0)*$D$10</f>
        <v>4</v>
      </c>
    </row>
    <row r="33">
      <c r="A33" s="31" t="n">
        <v>45901</v>
      </c>
      <c r="B33" s="32">
        <f>YEAR(A33)</f>
        <v>2025</v>
      </c>
      <c r="C33" s="32">
        <f>ROUNDUP('Гарантия (машины)'!C24/$D$4,0)*$D$5</f>
        <v>5</v>
      </c>
      <c r="D33" s="32">
        <f>ROUNDUP('Гарантия (машины)'!C24/$D$4,0)*$D$6</f>
        <v>10</v>
      </c>
      <c r="E33" s="32">
        <f>ROUNDUP('Гарантия (машины)'!C24/$D$4,0)*$D$7</f>
        <v>5</v>
      </c>
      <c r="F33" s="32">
        <f>ROUNDUP('Гарантия (машины)'!D24/$D$4,0)*$D$8</f>
        <v>1</v>
      </c>
      <c r="G33" s="32">
        <f>ROUNDUP('Гарантия (машины)'!D24/$D$4,0)*$D$9</f>
        <v>1</v>
      </c>
      <c r="H33" s="32">
        <f>ROUNDUP('Гарантия (машины)'!D24/$D$4,0)*$D$10</f>
        <v>2</v>
      </c>
      <c r="I33" s="32">
        <f>ROUNDUP('Гарантия (машины)'!E24/$D$4,0)*$D$5</f>
        <v>0</v>
      </c>
      <c r="J33" s="32">
        <f>ROUNDUP('Гарантия (машины)'!E24/$D$4,0)*$D$6</f>
        <v>0</v>
      </c>
      <c r="K33" s="32">
        <f>ROUNDUP('Гарантия (машины)'!E24/$D$4,0)*$D$7</f>
        <v>0</v>
      </c>
      <c r="L33" s="32">
        <f>ROUNDUP('Гарантия (машины)'!F24/$D$4,0)*$D$8</f>
        <v>1</v>
      </c>
      <c r="M33" s="32">
        <f>ROUNDUP('Гарантия (машины)'!F24/$D$4,0)*$D$9</f>
        <v>1</v>
      </c>
      <c r="N33" s="32">
        <f>ROUNDUP('Гарантия (машины)'!F24/$D$4,0)*$D$10</f>
        <v>2</v>
      </c>
      <c r="O33" s="32">
        <f>ROUNDUP('Гарантия (машины)'!G24/$D$4,0)*$D$5</f>
        <v>2</v>
      </c>
      <c r="P33" s="32">
        <f>ROUNDUP('Гарантия (машины)'!G24/$D$4,0)*$D$6</f>
        <v>4</v>
      </c>
      <c r="Q33" s="32">
        <f>ROUNDUP('Гарантия (машины)'!G24/$D$4,0)*$D$7</f>
        <v>2</v>
      </c>
      <c r="R33" s="32">
        <f>ROUNDUP('Гарантия (машины)'!H24/$D$4,0)*$D$8</f>
        <v>0</v>
      </c>
      <c r="S33" s="32">
        <f>ROUNDUP('Гарантия (машины)'!H24/$D$4,0)*$D$9</f>
        <v>0</v>
      </c>
      <c r="T33" s="32">
        <f>ROUNDUP('Гарантия (машины)'!H24/$D$4,0)*$D$10</f>
        <v>0</v>
      </c>
      <c r="U33" s="32">
        <f>ROUNDUP('Гарантия (машины)'!I24/$D$4,0)*$D$8</f>
        <v>2</v>
      </c>
      <c r="V33" s="32">
        <f>ROUNDUP('Гарантия (машины)'!I24/$D$4,0)*$D$9</f>
        <v>2</v>
      </c>
      <c r="W33" s="32">
        <f>ROUNDUP('Гарантия (машины)'!I24/$D$4,0)*$D$10</f>
        <v>4</v>
      </c>
    </row>
    <row r="34">
      <c r="A34" s="31" t="n">
        <v>45931</v>
      </c>
      <c r="B34" s="32">
        <f>YEAR(A34)</f>
        <v>2025</v>
      </c>
      <c r="C34" s="32">
        <f>ROUNDUP('Гарантия (машины)'!C25/$D$4,0)*$D$5</f>
        <v>5</v>
      </c>
      <c r="D34" s="32">
        <f>ROUNDUP('Гарантия (машины)'!C25/$D$4,0)*$D$6</f>
        <v>10</v>
      </c>
      <c r="E34" s="32">
        <f>ROUNDUP('Гарантия (машины)'!C25/$D$4,0)*$D$7</f>
        <v>5</v>
      </c>
      <c r="F34" s="32">
        <f>ROUNDUP('Гарантия (машины)'!D25/$D$4,0)*$D$8</f>
        <v>1</v>
      </c>
      <c r="G34" s="32">
        <f>ROUNDUP('Гарантия (машины)'!D25/$D$4,0)*$D$9</f>
        <v>1</v>
      </c>
      <c r="H34" s="32">
        <f>ROUNDUP('Гарантия (машины)'!D25/$D$4,0)*$D$10</f>
        <v>2</v>
      </c>
      <c r="I34" s="32">
        <f>ROUNDUP('Гарантия (машины)'!E25/$D$4,0)*$D$5</f>
        <v>0</v>
      </c>
      <c r="J34" s="32">
        <f>ROUNDUP('Гарантия (машины)'!E25/$D$4,0)*$D$6</f>
        <v>0</v>
      </c>
      <c r="K34" s="32">
        <f>ROUNDUP('Гарантия (машины)'!E25/$D$4,0)*$D$7</f>
        <v>0</v>
      </c>
      <c r="L34" s="32">
        <f>ROUNDUP('Гарантия (машины)'!F25/$D$4,0)*$D$8</f>
        <v>1</v>
      </c>
      <c r="M34" s="32">
        <f>ROUNDUP('Гарантия (машины)'!F25/$D$4,0)*$D$9</f>
        <v>1</v>
      </c>
      <c r="N34" s="32">
        <f>ROUNDUP('Гарантия (машины)'!F25/$D$4,0)*$D$10</f>
        <v>2</v>
      </c>
      <c r="O34" s="32">
        <f>ROUNDUP('Гарантия (машины)'!G25/$D$4,0)*$D$5</f>
        <v>2</v>
      </c>
      <c r="P34" s="32">
        <f>ROUNDUP('Гарантия (машины)'!G25/$D$4,0)*$D$6</f>
        <v>4</v>
      </c>
      <c r="Q34" s="32">
        <f>ROUNDUP('Гарантия (машины)'!G25/$D$4,0)*$D$7</f>
        <v>2</v>
      </c>
      <c r="R34" s="32">
        <f>ROUNDUP('Гарантия (машины)'!H25/$D$4,0)*$D$8</f>
        <v>0</v>
      </c>
      <c r="S34" s="32">
        <f>ROUNDUP('Гарантия (машины)'!H25/$D$4,0)*$D$9</f>
        <v>0</v>
      </c>
      <c r="T34" s="32">
        <f>ROUNDUP('Гарантия (машины)'!H25/$D$4,0)*$D$10</f>
        <v>0</v>
      </c>
      <c r="U34" s="32">
        <f>ROUNDUP('Гарантия (машины)'!I25/$D$4,0)*$D$8</f>
        <v>2</v>
      </c>
      <c r="V34" s="32">
        <f>ROUNDUP('Гарантия (машины)'!I25/$D$4,0)*$D$9</f>
        <v>2</v>
      </c>
      <c r="W34" s="32">
        <f>ROUNDUP('Гарантия (машины)'!I25/$D$4,0)*$D$10</f>
        <v>4</v>
      </c>
    </row>
    <row r="35">
      <c r="A35" s="31" t="n">
        <v>45962</v>
      </c>
      <c r="B35" s="32">
        <f>YEAR(A35)</f>
        <v>2025</v>
      </c>
      <c r="C35" s="32">
        <f>ROUNDUP('Гарантия (машины)'!C26/$D$4,0)*$D$5</f>
        <v>5</v>
      </c>
      <c r="D35" s="32">
        <f>ROUNDUP('Гарантия (машины)'!C26/$D$4,0)*$D$6</f>
        <v>10</v>
      </c>
      <c r="E35" s="32">
        <f>ROUNDUP('Гарантия (машины)'!C26/$D$4,0)*$D$7</f>
        <v>5</v>
      </c>
      <c r="F35" s="32">
        <f>ROUNDUP('Гарантия (машины)'!D26/$D$4,0)*$D$8</f>
        <v>1</v>
      </c>
      <c r="G35" s="32">
        <f>ROUNDUP('Гарантия (машины)'!D26/$D$4,0)*$D$9</f>
        <v>1</v>
      </c>
      <c r="H35" s="32">
        <f>ROUNDUP('Гарантия (машины)'!D26/$D$4,0)*$D$10</f>
        <v>2</v>
      </c>
      <c r="I35" s="32">
        <f>ROUNDUP('Гарантия (машины)'!E26/$D$4,0)*$D$5</f>
        <v>0</v>
      </c>
      <c r="J35" s="32">
        <f>ROUNDUP('Гарантия (машины)'!E26/$D$4,0)*$D$6</f>
        <v>0</v>
      </c>
      <c r="K35" s="32">
        <f>ROUNDUP('Гарантия (машины)'!E26/$D$4,0)*$D$7</f>
        <v>0</v>
      </c>
      <c r="L35" s="32">
        <f>ROUNDUP('Гарантия (машины)'!F26/$D$4,0)*$D$8</f>
        <v>1</v>
      </c>
      <c r="M35" s="32">
        <f>ROUNDUP('Гарантия (машины)'!F26/$D$4,0)*$D$9</f>
        <v>1</v>
      </c>
      <c r="N35" s="32">
        <f>ROUNDUP('Гарантия (машины)'!F26/$D$4,0)*$D$10</f>
        <v>2</v>
      </c>
      <c r="O35" s="32">
        <f>ROUNDUP('Гарантия (машины)'!G26/$D$4,0)*$D$5</f>
        <v>2</v>
      </c>
      <c r="P35" s="32">
        <f>ROUNDUP('Гарантия (машины)'!G26/$D$4,0)*$D$6</f>
        <v>4</v>
      </c>
      <c r="Q35" s="32">
        <f>ROUNDUP('Гарантия (машины)'!G26/$D$4,0)*$D$7</f>
        <v>2</v>
      </c>
      <c r="R35" s="32">
        <f>ROUNDUP('Гарантия (машины)'!H26/$D$4,0)*$D$8</f>
        <v>0</v>
      </c>
      <c r="S35" s="32">
        <f>ROUNDUP('Гарантия (машины)'!H26/$D$4,0)*$D$9</f>
        <v>0</v>
      </c>
      <c r="T35" s="32">
        <f>ROUNDUP('Гарантия (машины)'!H26/$D$4,0)*$D$10</f>
        <v>0</v>
      </c>
      <c r="U35" s="32">
        <f>ROUNDUP('Гарантия (машины)'!I26/$D$4,0)*$D$8</f>
        <v>2</v>
      </c>
      <c r="V35" s="32">
        <f>ROUNDUP('Гарантия (машины)'!I26/$D$4,0)*$D$9</f>
        <v>2</v>
      </c>
      <c r="W35" s="32">
        <f>ROUNDUP('Гарантия (машины)'!I26/$D$4,0)*$D$10</f>
        <v>4</v>
      </c>
    </row>
    <row r="36">
      <c r="A36" s="31" t="n">
        <v>45992</v>
      </c>
      <c r="B36" s="32">
        <f>YEAR(A36)</f>
        <v>2025</v>
      </c>
      <c r="C36" s="32">
        <f>ROUNDUP('Гарантия (машины)'!C27/$D$4,0)*$D$5</f>
        <v>5</v>
      </c>
      <c r="D36" s="32">
        <f>ROUNDUP('Гарантия (машины)'!C27/$D$4,0)*$D$6</f>
        <v>10</v>
      </c>
      <c r="E36" s="32">
        <f>ROUNDUP('Гарантия (машины)'!C27/$D$4,0)*$D$7</f>
        <v>5</v>
      </c>
      <c r="F36" s="32">
        <f>ROUNDUP('Гарантия (машины)'!D27/$D$4,0)*$D$8</f>
        <v>1</v>
      </c>
      <c r="G36" s="32">
        <f>ROUNDUP('Гарантия (машины)'!D27/$D$4,0)*$D$9</f>
        <v>1</v>
      </c>
      <c r="H36" s="32">
        <f>ROUNDUP('Гарантия (машины)'!D27/$D$4,0)*$D$10</f>
        <v>2</v>
      </c>
      <c r="I36" s="32">
        <f>ROUNDUP('Гарантия (машины)'!E27/$D$4,0)*$D$5</f>
        <v>0</v>
      </c>
      <c r="J36" s="32">
        <f>ROUNDUP('Гарантия (машины)'!E27/$D$4,0)*$D$6</f>
        <v>0</v>
      </c>
      <c r="K36" s="32">
        <f>ROUNDUP('Гарантия (машины)'!E27/$D$4,0)*$D$7</f>
        <v>0</v>
      </c>
      <c r="L36" s="32">
        <f>ROUNDUP('Гарантия (машины)'!F27/$D$4,0)*$D$8</f>
        <v>1</v>
      </c>
      <c r="M36" s="32">
        <f>ROUNDUP('Гарантия (машины)'!F27/$D$4,0)*$D$9</f>
        <v>1</v>
      </c>
      <c r="N36" s="32">
        <f>ROUNDUP('Гарантия (машины)'!F27/$D$4,0)*$D$10</f>
        <v>2</v>
      </c>
      <c r="O36" s="32">
        <f>ROUNDUP('Гарантия (машины)'!G27/$D$4,0)*$D$5</f>
        <v>3</v>
      </c>
      <c r="P36" s="32">
        <f>ROUNDUP('Гарантия (машины)'!G27/$D$4,0)*$D$6</f>
        <v>6</v>
      </c>
      <c r="Q36" s="32">
        <f>ROUNDUP('Гарантия (машины)'!G27/$D$4,0)*$D$7</f>
        <v>3</v>
      </c>
      <c r="R36" s="32">
        <f>ROUNDUP('Гарантия (машины)'!H27/$D$4,0)*$D$8</f>
        <v>0</v>
      </c>
      <c r="S36" s="32">
        <f>ROUNDUP('Гарантия (машины)'!H27/$D$4,0)*$D$9</f>
        <v>0</v>
      </c>
      <c r="T36" s="32">
        <f>ROUNDUP('Гарантия (машины)'!H27/$D$4,0)*$D$10</f>
        <v>0</v>
      </c>
      <c r="U36" s="32">
        <f>ROUNDUP('Гарантия (машины)'!I27/$D$4,0)*$D$8</f>
        <v>2</v>
      </c>
      <c r="V36" s="32">
        <f>ROUNDUP('Гарантия (машины)'!I27/$D$4,0)*$D$9</f>
        <v>2</v>
      </c>
      <c r="W36" s="32">
        <f>ROUNDUP('Гарантия (машины)'!I27/$D$4,0)*$D$10</f>
        <v>4</v>
      </c>
    </row>
    <row r="37">
      <c r="A37" s="31" t="n">
        <v>46023</v>
      </c>
      <c r="B37" s="32">
        <f>YEAR(A37)</f>
        <v>2026</v>
      </c>
      <c r="C37" s="32">
        <f>ROUNDUP('Гарантия (машины)'!C28/$D$4,0)*$D$5</f>
        <v>4</v>
      </c>
      <c r="D37" s="32">
        <f>ROUNDUP('Гарантия (машины)'!C28/$D$4,0)*$D$6</f>
        <v>8</v>
      </c>
      <c r="E37" s="32">
        <f>ROUNDUP('Гарантия (машины)'!C28/$D$4,0)*$D$7</f>
        <v>4</v>
      </c>
      <c r="F37" s="32">
        <f>ROUNDUP('Гарантия (машины)'!D28/$D$4,0)*$D$8</f>
        <v>1</v>
      </c>
      <c r="G37" s="32">
        <f>ROUNDUP('Гарантия (машины)'!D28/$D$4,0)*$D$9</f>
        <v>1</v>
      </c>
      <c r="H37" s="32">
        <f>ROUNDUP('Гарантия (машины)'!D28/$D$4,0)*$D$10</f>
        <v>2</v>
      </c>
      <c r="I37" s="32">
        <f>ROUNDUP('Гарантия (машины)'!E28/$D$4,0)*$D$5</f>
        <v>0</v>
      </c>
      <c r="J37" s="32">
        <f>ROUNDUP('Гарантия (машины)'!E28/$D$4,0)*$D$6</f>
        <v>0</v>
      </c>
      <c r="K37" s="32">
        <f>ROUNDUP('Гарантия (машины)'!E28/$D$4,0)*$D$7</f>
        <v>0</v>
      </c>
      <c r="L37" s="32">
        <f>ROUNDUP('Гарантия (машины)'!F28/$D$4,0)*$D$8</f>
        <v>1</v>
      </c>
      <c r="M37" s="32">
        <f>ROUNDUP('Гарантия (машины)'!F28/$D$4,0)*$D$9</f>
        <v>1</v>
      </c>
      <c r="N37" s="32">
        <f>ROUNDUP('Гарантия (машины)'!F28/$D$4,0)*$D$10</f>
        <v>2</v>
      </c>
      <c r="O37" s="32">
        <f>ROUNDUP('Гарантия (машины)'!G28/$D$4,0)*$D$5</f>
        <v>3</v>
      </c>
      <c r="P37" s="32">
        <f>ROUNDUP('Гарантия (машины)'!G28/$D$4,0)*$D$6</f>
        <v>6</v>
      </c>
      <c r="Q37" s="32">
        <f>ROUNDUP('Гарантия (машины)'!G28/$D$4,0)*$D$7</f>
        <v>3</v>
      </c>
      <c r="R37" s="32">
        <f>ROUNDUP('Гарантия (машины)'!H28/$D$4,0)*$D$8</f>
        <v>0</v>
      </c>
      <c r="S37" s="32">
        <f>ROUNDUP('Гарантия (машины)'!H28/$D$4,0)*$D$9</f>
        <v>0</v>
      </c>
      <c r="T37" s="32">
        <f>ROUNDUP('Гарантия (машины)'!H28/$D$4,0)*$D$10</f>
        <v>0</v>
      </c>
      <c r="U37" s="32">
        <f>ROUNDUP('Гарантия (машины)'!I28/$D$4,0)*$D$8</f>
        <v>2</v>
      </c>
      <c r="V37" s="32">
        <f>ROUNDUP('Гарантия (машины)'!I28/$D$4,0)*$D$9</f>
        <v>2</v>
      </c>
      <c r="W37" s="32">
        <f>ROUNDUP('Гарантия (машины)'!I28/$D$4,0)*$D$10</f>
        <v>4</v>
      </c>
    </row>
    <row r="38">
      <c r="A38" s="31" t="n">
        <v>46054</v>
      </c>
      <c r="B38" s="32">
        <f>YEAR(A38)</f>
        <v>2026</v>
      </c>
      <c r="C38" s="32">
        <f>ROUNDUP('Гарантия (машины)'!C29/$D$4,0)*$D$5</f>
        <v>5</v>
      </c>
      <c r="D38" s="32">
        <f>ROUNDUP('Гарантия (машины)'!C29/$D$4,0)*$D$6</f>
        <v>10</v>
      </c>
      <c r="E38" s="32">
        <f>ROUNDUP('Гарантия (машины)'!C29/$D$4,0)*$D$7</f>
        <v>5</v>
      </c>
      <c r="F38" s="32">
        <f>ROUNDUP('Гарантия (машины)'!D29/$D$4,0)*$D$8</f>
        <v>1</v>
      </c>
      <c r="G38" s="32">
        <f>ROUNDUP('Гарантия (машины)'!D29/$D$4,0)*$D$9</f>
        <v>1</v>
      </c>
      <c r="H38" s="32">
        <f>ROUNDUP('Гарантия (машины)'!D29/$D$4,0)*$D$10</f>
        <v>2</v>
      </c>
      <c r="I38" s="32">
        <f>ROUNDUP('Гарантия (машины)'!E29/$D$4,0)*$D$5</f>
        <v>0</v>
      </c>
      <c r="J38" s="32">
        <f>ROUNDUP('Гарантия (машины)'!E29/$D$4,0)*$D$6</f>
        <v>0</v>
      </c>
      <c r="K38" s="32">
        <f>ROUNDUP('Гарантия (машины)'!E29/$D$4,0)*$D$7</f>
        <v>0</v>
      </c>
      <c r="L38" s="32">
        <f>ROUNDUP('Гарантия (машины)'!F29/$D$4,0)*$D$8</f>
        <v>1</v>
      </c>
      <c r="M38" s="32">
        <f>ROUNDUP('Гарантия (машины)'!F29/$D$4,0)*$D$9</f>
        <v>1</v>
      </c>
      <c r="N38" s="32">
        <f>ROUNDUP('Гарантия (машины)'!F29/$D$4,0)*$D$10</f>
        <v>2</v>
      </c>
      <c r="O38" s="32">
        <f>ROUNDUP('Гарантия (машины)'!G29/$D$4,0)*$D$5</f>
        <v>2</v>
      </c>
      <c r="P38" s="32">
        <f>ROUNDUP('Гарантия (машины)'!G29/$D$4,0)*$D$6</f>
        <v>4</v>
      </c>
      <c r="Q38" s="32">
        <f>ROUNDUP('Гарантия (машины)'!G29/$D$4,0)*$D$7</f>
        <v>2</v>
      </c>
      <c r="R38" s="32">
        <f>ROUNDUP('Гарантия (машины)'!H29/$D$4,0)*$D$8</f>
        <v>0</v>
      </c>
      <c r="S38" s="32">
        <f>ROUNDUP('Гарантия (машины)'!H29/$D$4,0)*$D$9</f>
        <v>0</v>
      </c>
      <c r="T38" s="32">
        <f>ROUNDUP('Гарантия (машины)'!H29/$D$4,0)*$D$10</f>
        <v>0</v>
      </c>
      <c r="U38" s="32">
        <f>ROUNDUP('Гарантия (машины)'!I29/$D$4,0)*$D$8</f>
        <v>3</v>
      </c>
      <c r="V38" s="32">
        <f>ROUNDUP('Гарантия (машины)'!I29/$D$4,0)*$D$9</f>
        <v>3</v>
      </c>
      <c r="W38" s="32">
        <f>ROUNDUP('Гарантия (машины)'!I29/$D$4,0)*$D$10</f>
        <v>6</v>
      </c>
    </row>
    <row r="39">
      <c r="A39" s="31" t="n">
        <v>46082</v>
      </c>
      <c r="B39" s="32">
        <f>YEAR(A39)</f>
        <v>2026</v>
      </c>
      <c r="C39" s="32">
        <f>ROUNDUP('Гарантия (машины)'!C30/$D$4,0)*$D$5</f>
        <v>5</v>
      </c>
      <c r="D39" s="32">
        <f>ROUNDUP('Гарантия (машины)'!C30/$D$4,0)*$D$6</f>
        <v>10</v>
      </c>
      <c r="E39" s="32">
        <f>ROUNDUP('Гарантия (машины)'!C30/$D$4,0)*$D$7</f>
        <v>5</v>
      </c>
      <c r="F39" s="32">
        <f>ROUNDUP('Гарантия (машины)'!D30/$D$4,0)*$D$8</f>
        <v>2</v>
      </c>
      <c r="G39" s="32">
        <f>ROUNDUP('Гарантия (машины)'!D30/$D$4,0)*$D$9</f>
        <v>2</v>
      </c>
      <c r="H39" s="32">
        <f>ROUNDUP('Гарантия (машины)'!D30/$D$4,0)*$D$10</f>
        <v>4</v>
      </c>
      <c r="I39" s="32">
        <f>ROUNDUP('Гарантия (машины)'!E30/$D$4,0)*$D$5</f>
        <v>0</v>
      </c>
      <c r="J39" s="32">
        <f>ROUNDUP('Гарантия (машины)'!E30/$D$4,0)*$D$6</f>
        <v>0</v>
      </c>
      <c r="K39" s="32">
        <f>ROUNDUP('Гарантия (машины)'!E30/$D$4,0)*$D$7</f>
        <v>0</v>
      </c>
      <c r="L39" s="32">
        <f>ROUNDUP('Гарантия (машины)'!F30/$D$4,0)*$D$8</f>
        <v>1</v>
      </c>
      <c r="M39" s="32">
        <f>ROUNDUP('Гарантия (машины)'!F30/$D$4,0)*$D$9</f>
        <v>1</v>
      </c>
      <c r="N39" s="32">
        <f>ROUNDUP('Гарантия (машины)'!F30/$D$4,0)*$D$10</f>
        <v>2</v>
      </c>
      <c r="O39" s="32">
        <f>ROUNDUP('Гарантия (машины)'!G30/$D$4,0)*$D$5</f>
        <v>2</v>
      </c>
      <c r="P39" s="32">
        <f>ROUNDUP('Гарантия (машины)'!G30/$D$4,0)*$D$6</f>
        <v>4</v>
      </c>
      <c r="Q39" s="32">
        <f>ROUNDUP('Гарантия (машины)'!G30/$D$4,0)*$D$7</f>
        <v>2</v>
      </c>
      <c r="R39" s="32">
        <f>ROUNDUP('Гарантия (машины)'!H30/$D$4,0)*$D$8</f>
        <v>1</v>
      </c>
      <c r="S39" s="32">
        <f>ROUNDUP('Гарантия (машины)'!H30/$D$4,0)*$D$9</f>
        <v>1</v>
      </c>
      <c r="T39" s="32">
        <f>ROUNDUP('Гарантия (машины)'!H30/$D$4,0)*$D$10</f>
        <v>2</v>
      </c>
      <c r="U39" s="32">
        <f>ROUNDUP('Гарантия (машины)'!I30/$D$4,0)*$D$8</f>
        <v>3</v>
      </c>
      <c r="V39" s="32">
        <f>ROUNDUP('Гарантия (машины)'!I30/$D$4,0)*$D$9</f>
        <v>3</v>
      </c>
      <c r="W39" s="32">
        <f>ROUNDUP('Гарантия (машины)'!I30/$D$4,0)*$D$10</f>
        <v>6</v>
      </c>
    </row>
    <row r="40">
      <c r="A40" s="31" t="n">
        <v>46113</v>
      </c>
      <c r="B40" s="32">
        <f>YEAR(A40)</f>
        <v>2026</v>
      </c>
      <c r="C40" s="32">
        <f>ROUNDUP('Гарантия (машины)'!C31/$D$4,0)*$D$5</f>
        <v>5</v>
      </c>
      <c r="D40" s="32">
        <f>ROUNDUP('Гарантия (машины)'!C31/$D$4,0)*$D$6</f>
        <v>10</v>
      </c>
      <c r="E40" s="32">
        <f>ROUNDUP('Гарантия (машины)'!C31/$D$4,0)*$D$7</f>
        <v>5</v>
      </c>
      <c r="F40" s="32">
        <f>ROUNDUP('Гарантия (машины)'!D31/$D$4,0)*$D$8</f>
        <v>2</v>
      </c>
      <c r="G40" s="32">
        <f>ROUNDUP('Гарантия (машины)'!D31/$D$4,0)*$D$9</f>
        <v>2</v>
      </c>
      <c r="H40" s="32">
        <f>ROUNDUP('Гарантия (машины)'!D31/$D$4,0)*$D$10</f>
        <v>4</v>
      </c>
      <c r="I40" s="32">
        <f>ROUNDUP('Гарантия (машины)'!E31/$D$4,0)*$D$5</f>
        <v>0</v>
      </c>
      <c r="J40" s="32">
        <f>ROUNDUP('Гарантия (машины)'!E31/$D$4,0)*$D$6</f>
        <v>0</v>
      </c>
      <c r="K40" s="32">
        <f>ROUNDUP('Гарантия (машины)'!E31/$D$4,0)*$D$7</f>
        <v>0</v>
      </c>
      <c r="L40" s="32">
        <f>ROUNDUP('Гарантия (машины)'!F31/$D$4,0)*$D$8</f>
        <v>1</v>
      </c>
      <c r="M40" s="32">
        <f>ROUNDUP('Гарантия (машины)'!F31/$D$4,0)*$D$9</f>
        <v>1</v>
      </c>
      <c r="N40" s="32">
        <f>ROUNDUP('Гарантия (машины)'!F31/$D$4,0)*$D$10</f>
        <v>2</v>
      </c>
      <c r="O40" s="32">
        <f>ROUNDUP('Гарантия (машины)'!G31/$D$4,0)*$D$5</f>
        <v>2</v>
      </c>
      <c r="P40" s="32">
        <f>ROUNDUP('Гарантия (машины)'!G31/$D$4,0)*$D$6</f>
        <v>4</v>
      </c>
      <c r="Q40" s="32">
        <f>ROUNDUP('Гарантия (машины)'!G31/$D$4,0)*$D$7</f>
        <v>2</v>
      </c>
      <c r="R40" s="32">
        <f>ROUNDUP('Гарантия (машины)'!H31/$D$4,0)*$D$8</f>
        <v>1</v>
      </c>
      <c r="S40" s="32">
        <f>ROUNDUP('Гарантия (машины)'!H31/$D$4,0)*$D$9</f>
        <v>1</v>
      </c>
      <c r="T40" s="32">
        <f>ROUNDUP('Гарантия (машины)'!H31/$D$4,0)*$D$10</f>
        <v>2</v>
      </c>
      <c r="U40" s="32">
        <f>ROUNDUP('Гарантия (машины)'!I31/$D$4,0)*$D$8</f>
        <v>3</v>
      </c>
      <c r="V40" s="32">
        <f>ROUNDUP('Гарантия (машины)'!I31/$D$4,0)*$D$9</f>
        <v>3</v>
      </c>
      <c r="W40" s="32">
        <f>ROUNDUP('Гарантия (машины)'!I31/$D$4,0)*$D$10</f>
        <v>6</v>
      </c>
    </row>
    <row r="41">
      <c r="A41" s="31" t="n">
        <v>46143</v>
      </c>
      <c r="B41" s="32">
        <f>YEAR(A41)</f>
        <v>2026</v>
      </c>
      <c r="C41" s="32">
        <f>ROUNDUP('Гарантия (машины)'!C32/$D$4,0)*$D$5</f>
        <v>6</v>
      </c>
      <c r="D41" s="32">
        <f>ROUNDUP('Гарантия (машины)'!C32/$D$4,0)*$D$6</f>
        <v>12</v>
      </c>
      <c r="E41" s="32">
        <f>ROUNDUP('Гарантия (машины)'!C32/$D$4,0)*$D$7</f>
        <v>6</v>
      </c>
      <c r="F41" s="32">
        <f>ROUNDUP('Гарантия (машины)'!D32/$D$4,0)*$D$8</f>
        <v>2</v>
      </c>
      <c r="G41" s="32">
        <f>ROUNDUP('Гарантия (машины)'!D32/$D$4,0)*$D$9</f>
        <v>2</v>
      </c>
      <c r="H41" s="32">
        <f>ROUNDUP('Гарантия (машины)'!D32/$D$4,0)*$D$10</f>
        <v>4</v>
      </c>
      <c r="I41" s="32">
        <f>ROUNDUP('Гарантия (машины)'!E32/$D$4,0)*$D$5</f>
        <v>0</v>
      </c>
      <c r="J41" s="32">
        <f>ROUNDUP('Гарантия (машины)'!E32/$D$4,0)*$D$6</f>
        <v>0</v>
      </c>
      <c r="K41" s="32">
        <f>ROUNDUP('Гарантия (машины)'!E32/$D$4,0)*$D$7</f>
        <v>0</v>
      </c>
      <c r="L41" s="32">
        <f>ROUNDUP('Гарантия (машины)'!F32/$D$4,0)*$D$8</f>
        <v>1</v>
      </c>
      <c r="M41" s="32">
        <f>ROUNDUP('Гарантия (машины)'!F32/$D$4,0)*$D$9</f>
        <v>1</v>
      </c>
      <c r="N41" s="32">
        <f>ROUNDUP('Гарантия (машины)'!F32/$D$4,0)*$D$10</f>
        <v>2</v>
      </c>
      <c r="O41" s="32">
        <f>ROUNDUP('Гарантия (машины)'!G32/$D$4,0)*$D$5</f>
        <v>2</v>
      </c>
      <c r="P41" s="32">
        <f>ROUNDUP('Гарантия (машины)'!G32/$D$4,0)*$D$6</f>
        <v>4</v>
      </c>
      <c r="Q41" s="32">
        <f>ROUNDUP('Гарантия (машины)'!G32/$D$4,0)*$D$7</f>
        <v>2</v>
      </c>
      <c r="R41" s="32">
        <f>ROUNDUP('Гарантия (машины)'!H32/$D$4,0)*$D$8</f>
        <v>1</v>
      </c>
      <c r="S41" s="32">
        <f>ROUNDUP('Гарантия (машины)'!H32/$D$4,0)*$D$9</f>
        <v>1</v>
      </c>
      <c r="T41" s="32">
        <f>ROUNDUP('Гарантия (машины)'!H32/$D$4,0)*$D$10</f>
        <v>2</v>
      </c>
      <c r="U41" s="32">
        <f>ROUNDUP('Гарантия (машины)'!I32/$D$4,0)*$D$8</f>
        <v>3</v>
      </c>
      <c r="V41" s="32">
        <f>ROUNDUP('Гарантия (машины)'!I32/$D$4,0)*$D$9</f>
        <v>3</v>
      </c>
      <c r="W41" s="32">
        <f>ROUNDUP('Гарантия (машины)'!I32/$D$4,0)*$D$10</f>
        <v>6</v>
      </c>
    </row>
    <row r="42">
      <c r="A42" s="31" t="n">
        <v>46174</v>
      </c>
      <c r="B42" s="32">
        <f>YEAR(A42)</f>
        <v>2026</v>
      </c>
      <c r="C42" s="32">
        <f>ROUNDUP('Гарантия (машины)'!C33/$D$4,0)*$D$5</f>
        <v>6</v>
      </c>
      <c r="D42" s="32">
        <f>ROUNDUP('Гарантия (машины)'!C33/$D$4,0)*$D$6</f>
        <v>12</v>
      </c>
      <c r="E42" s="32">
        <f>ROUNDUP('Гарантия (машины)'!C33/$D$4,0)*$D$7</f>
        <v>6</v>
      </c>
      <c r="F42" s="32">
        <f>ROUNDUP('Гарантия (машины)'!D33/$D$4,0)*$D$8</f>
        <v>2</v>
      </c>
      <c r="G42" s="32">
        <f>ROUNDUP('Гарантия (машины)'!D33/$D$4,0)*$D$9</f>
        <v>2</v>
      </c>
      <c r="H42" s="32">
        <f>ROUNDUP('Гарантия (машины)'!D33/$D$4,0)*$D$10</f>
        <v>4</v>
      </c>
      <c r="I42" s="32">
        <f>ROUNDUP('Гарантия (машины)'!E33/$D$4,0)*$D$5</f>
        <v>0</v>
      </c>
      <c r="J42" s="32">
        <f>ROUNDUP('Гарантия (машины)'!E33/$D$4,0)*$D$6</f>
        <v>0</v>
      </c>
      <c r="K42" s="32">
        <f>ROUNDUP('Гарантия (машины)'!E33/$D$4,0)*$D$7</f>
        <v>0</v>
      </c>
      <c r="L42" s="32">
        <f>ROUNDUP('Гарантия (машины)'!F33/$D$4,0)*$D$8</f>
        <v>1</v>
      </c>
      <c r="M42" s="32">
        <f>ROUNDUP('Гарантия (машины)'!F33/$D$4,0)*$D$9</f>
        <v>1</v>
      </c>
      <c r="N42" s="32">
        <f>ROUNDUP('Гарантия (машины)'!F33/$D$4,0)*$D$10</f>
        <v>2</v>
      </c>
      <c r="O42" s="32">
        <f>ROUNDUP('Гарантия (машины)'!G33/$D$4,0)*$D$5</f>
        <v>2</v>
      </c>
      <c r="P42" s="32">
        <f>ROUNDUP('Гарантия (машины)'!G33/$D$4,0)*$D$6</f>
        <v>4</v>
      </c>
      <c r="Q42" s="32">
        <f>ROUNDUP('Гарантия (машины)'!G33/$D$4,0)*$D$7</f>
        <v>2</v>
      </c>
      <c r="R42" s="32">
        <f>ROUNDUP('Гарантия (машины)'!H33/$D$4,0)*$D$8</f>
        <v>1</v>
      </c>
      <c r="S42" s="32">
        <f>ROUNDUP('Гарантия (машины)'!H33/$D$4,0)*$D$9</f>
        <v>1</v>
      </c>
      <c r="T42" s="32">
        <f>ROUNDUP('Гарантия (машины)'!H33/$D$4,0)*$D$10</f>
        <v>2</v>
      </c>
      <c r="U42" s="32">
        <f>ROUNDUP('Гарантия (машины)'!I33/$D$4,0)*$D$8</f>
        <v>3</v>
      </c>
      <c r="V42" s="32">
        <f>ROUNDUP('Гарантия (машины)'!I33/$D$4,0)*$D$9</f>
        <v>3</v>
      </c>
      <c r="W42" s="32">
        <f>ROUNDUP('Гарантия (машины)'!I33/$D$4,0)*$D$10</f>
        <v>6</v>
      </c>
    </row>
    <row r="43">
      <c r="A43" s="31" t="n">
        <v>46204</v>
      </c>
      <c r="B43" s="32">
        <f>YEAR(A43)</f>
        <v>2026</v>
      </c>
      <c r="C43" s="32">
        <f>ROUNDUP('Гарантия (машины)'!C34/$D$4,0)*$D$5</f>
        <v>6</v>
      </c>
      <c r="D43" s="32">
        <f>ROUNDUP('Гарантия (машины)'!C34/$D$4,0)*$D$6</f>
        <v>12</v>
      </c>
      <c r="E43" s="32">
        <f>ROUNDUP('Гарантия (машины)'!C34/$D$4,0)*$D$7</f>
        <v>6</v>
      </c>
      <c r="F43" s="32">
        <f>ROUNDUP('Гарантия (машины)'!D34/$D$4,0)*$D$8</f>
        <v>2</v>
      </c>
      <c r="G43" s="32">
        <f>ROUNDUP('Гарантия (машины)'!D34/$D$4,0)*$D$9</f>
        <v>2</v>
      </c>
      <c r="H43" s="32">
        <f>ROUNDUP('Гарантия (машины)'!D34/$D$4,0)*$D$10</f>
        <v>4</v>
      </c>
      <c r="I43" s="32">
        <f>ROUNDUP('Гарантия (машины)'!E34/$D$4,0)*$D$5</f>
        <v>0</v>
      </c>
      <c r="J43" s="32">
        <f>ROUNDUP('Гарантия (машины)'!E34/$D$4,0)*$D$6</f>
        <v>0</v>
      </c>
      <c r="K43" s="32">
        <f>ROUNDUP('Гарантия (машины)'!E34/$D$4,0)*$D$7</f>
        <v>0</v>
      </c>
      <c r="L43" s="32">
        <f>ROUNDUP('Гарантия (машины)'!F34/$D$4,0)*$D$8</f>
        <v>1</v>
      </c>
      <c r="M43" s="32">
        <f>ROUNDUP('Гарантия (машины)'!F34/$D$4,0)*$D$9</f>
        <v>1</v>
      </c>
      <c r="N43" s="32">
        <f>ROUNDUP('Гарантия (машины)'!F34/$D$4,0)*$D$10</f>
        <v>2</v>
      </c>
      <c r="O43" s="32">
        <f>ROUNDUP('Гарантия (машины)'!G34/$D$4,0)*$D$5</f>
        <v>2</v>
      </c>
      <c r="P43" s="32">
        <f>ROUNDUP('Гарантия (машины)'!G34/$D$4,0)*$D$6</f>
        <v>4</v>
      </c>
      <c r="Q43" s="32">
        <f>ROUNDUP('Гарантия (машины)'!G34/$D$4,0)*$D$7</f>
        <v>2</v>
      </c>
      <c r="R43" s="32">
        <f>ROUNDUP('Гарантия (машины)'!H34/$D$4,0)*$D$8</f>
        <v>1</v>
      </c>
      <c r="S43" s="32">
        <f>ROUNDUP('Гарантия (машины)'!H34/$D$4,0)*$D$9</f>
        <v>1</v>
      </c>
      <c r="T43" s="32">
        <f>ROUNDUP('Гарантия (машины)'!H34/$D$4,0)*$D$10</f>
        <v>2</v>
      </c>
      <c r="U43" s="32">
        <f>ROUNDUP('Гарантия (машины)'!I34/$D$4,0)*$D$8</f>
        <v>3</v>
      </c>
      <c r="V43" s="32">
        <f>ROUNDUP('Гарантия (машины)'!I34/$D$4,0)*$D$9</f>
        <v>3</v>
      </c>
      <c r="W43" s="32">
        <f>ROUNDUP('Гарантия (машины)'!I34/$D$4,0)*$D$10</f>
        <v>6</v>
      </c>
    </row>
    <row r="44">
      <c r="A44" s="31" t="n">
        <v>46235</v>
      </c>
      <c r="B44" s="32">
        <f>YEAR(A44)</f>
        <v>2026</v>
      </c>
      <c r="C44" s="32">
        <f>ROUNDUP('Гарантия (машины)'!C35/$D$4,0)*$D$5</f>
        <v>5</v>
      </c>
      <c r="D44" s="32">
        <f>ROUNDUP('Гарантия (машины)'!C35/$D$4,0)*$D$6</f>
        <v>10</v>
      </c>
      <c r="E44" s="32">
        <f>ROUNDUP('Гарантия (машины)'!C35/$D$4,0)*$D$7</f>
        <v>5</v>
      </c>
      <c r="F44" s="32">
        <f>ROUNDUP('Гарантия (машины)'!D35/$D$4,0)*$D$8</f>
        <v>2</v>
      </c>
      <c r="G44" s="32">
        <f>ROUNDUP('Гарантия (машины)'!D35/$D$4,0)*$D$9</f>
        <v>2</v>
      </c>
      <c r="H44" s="32">
        <f>ROUNDUP('Гарантия (машины)'!D35/$D$4,0)*$D$10</f>
        <v>4</v>
      </c>
      <c r="I44" s="32">
        <f>ROUNDUP('Гарантия (машины)'!E35/$D$4,0)*$D$5</f>
        <v>0</v>
      </c>
      <c r="J44" s="32">
        <f>ROUNDUP('Гарантия (машины)'!E35/$D$4,0)*$D$6</f>
        <v>0</v>
      </c>
      <c r="K44" s="32">
        <f>ROUNDUP('Гарантия (машины)'!E35/$D$4,0)*$D$7</f>
        <v>0</v>
      </c>
      <c r="L44" s="32">
        <f>ROUNDUP('Гарантия (машины)'!F35/$D$4,0)*$D$8</f>
        <v>0</v>
      </c>
      <c r="M44" s="32">
        <f>ROUNDUP('Гарантия (машины)'!F35/$D$4,0)*$D$9</f>
        <v>0</v>
      </c>
      <c r="N44" s="32">
        <f>ROUNDUP('Гарантия (машины)'!F35/$D$4,0)*$D$10</f>
        <v>0</v>
      </c>
      <c r="O44" s="32">
        <f>ROUNDUP('Гарантия (машины)'!G35/$D$4,0)*$D$5</f>
        <v>2</v>
      </c>
      <c r="P44" s="32">
        <f>ROUNDUP('Гарантия (машины)'!G35/$D$4,0)*$D$6</f>
        <v>4</v>
      </c>
      <c r="Q44" s="32">
        <f>ROUNDUP('Гарантия (машины)'!G35/$D$4,0)*$D$7</f>
        <v>2</v>
      </c>
      <c r="R44" s="32">
        <f>ROUNDUP('Гарантия (машины)'!H35/$D$4,0)*$D$8</f>
        <v>1</v>
      </c>
      <c r="S44" s="32">
        <f>ROUNDUP('Гарантия (машины)'!H35/$D$4,0)*$D$9</f>
        <v>1</v>
      </c>
      <c r="T44" s="32">
        <f>ROUNDUP('Гарантия (машины)'!H35/$D$4,0)*$D$10</f>
        <v>2</v>
      </c>
      <c r="U44" s="32">
        <f>ROUNDUP('Гарантия (машины)'!I35/$D$4,0)*$D$8</f>
        <v>3</v>
      </c>
      <c r="V44" s="32">
        <f>ROUNDUP('Гарантия (машины)'!I35/$D$4,0)*$D$9</f>
        <v>3</v>
      </c>
      <c r="W44" s="32">
        <f>ROUNDUP('Гарантия (машины)'!I35/$D$4,0)*$D$10</f>
        <v>6</v>
      </c>
    </row>
    <row r="45">
      <c r="A45" s="31" t="n">
        <v>46266</v>
      </c>
      <c r="B45" s="32">
        <f>YEAR(A45)</f>
        <v>2026</v>
      </c>
      <c r="C45" s="32">
        <f>ROUNDUP('Гарантия (машины)'!C36/$D$4,0)*$D$5</f>
        <v>5</v>
      </c>
      <c r="D45" s="32">
        <f>ROUNDUP('Гарантия (машины)'!C36/$D$4,0)*$D$6</f>
        <v>10</v>
      </c>
      <c r="E45" s="32">
        <f>ROUNDUP('Гарантия (машины)'!C36/$D$4,0)*$D$7</f>
        <v>5</v>
      </c>
      <c r="F45" s="32">
        <f>ROUNDUP('Гарантия (машины)'!D36/$D$4,0)*$D$8</f>
        <v>2</v>
      </c>
      <c r="G45" s="32">
        <f>ROUNDUP('Гарантия (машины)'!D36/$D$4,0)*$D$9</f>
        <v>2</v>
      </c>
      <c r="H45" s="32">
        <f>ROUNDUP('Гарантия (машины)'!D36/$D$4,0)*$D$10</f>
        <v>4</v>
      </c>
      <c r="I45" s="32">
        <f>ROUNDUP('Гарантия (машины)'!E36/$D$4,0)*$D$5</f>
        <v>1</v>
      </c>
      <c r="J45" s="32">
        <f>ROUNDUP('Гарантия (машины)'!E36/$D$4,0)*$D$6</f>
        <v>2</v>
      </c>
      <c r="K45" s="32">
        <f>ROUNDUP('Гарантия (машины)'!E36/$D$4,0)*$D$7</f>
        <v>1</v>
      </c>
      <c r="L45" s="32">
        <f>ROUNDUP('Гарантия (машины)'!F36/$D$4,0)*$D$8</f>
        <v>0</v>
      </c>
      <c r="M45" s="32">
        <f>ROUNDUP('Гарантия (машины)'!F36/$D$4,0)*$D$9</f>
        <v>0</v>
      </c>
      <c r="N45" s="32">
        <f>ROUNDUP('Гарантия (машины)'!F36/$D$4,0)*$D$10</f>
        <v>0</v>
      </c>
      <c r="O45" s="32">
        <f>ROUNDUP('Гарантия (машины)'!G36/$D$4,0)*$D$5</f>
        <v>2</v>
      </c>
      <c r="P45" s="32">
        <f>ROUNDUP('Гарантия (машины)'!G36/$D$4,0)*$D$6</f>
        <v>4</v>
      </c>
      <c r="Q45" s="32">
        <f>ROUNDUP('Гарантия (машины)'!G36/$D$4,0)*$D$7</f>
        <v>2</v>
      </c>
      <c r="R45" s="32">
        <f>ROUNDUP('Гарантия (машины)'!H36/$D$4,0)*$D$8</f>
        <v>1</v>
      </c>
      <c r="S45" s="32">
        <f>ROUNDUP('Гарантия (машины)'!H36/$D$4,0)*$D$9</f>
        <v>1</v>
      </c>
      <c r="T45" s="32">
        <f>ROUNDUP('Гарантия (машины)'!H36/$D$4,0)*$D$10</f>
        <v>2</v>
      </c>
      <c r="U45" s="32">
        <f>ROUNDUP('Гарантия (машины)'!I36/$D$4,0)*$D$8</f>
        <v>3</v>
      </c>
      <c r="V45" s="32">
        <f>ROUNDUP('Гарантия (машины)'!I36/$D$4,0)*$D$9</f>
        <v>3</v>
      </c>
      <c r="W45" s="32">
        <f>ROUNDUP('Гарантия (машины)'!I36/$D$4,0)*$D$10</f>
        <v>6</v>
      </c>
    </row>
    <row r="46">
      <c r="A46" s="31" t="n">
        <v>46296</v>
      </c>
      <c r="B46" s="32">
        <f>YEAR(A46)</f>
        <v>2026</v>
      </c>
      <c r="C46" s="32">
        <f>ROUNDUP('Гарантия (машины)'!C37/$D$4,0)*$D$5</f>
        <v>4</v>
      </c>
      <c r="D46" s="32">
        <f>ROUNDUP('Гарантия (машины)'!C37/$D$4,0)*$D$6</f>
        <v>8</v>
      </c>
      <c r="E46" s="32">
        <f>ROUNDUP('Гарантия (машины)'!C37/$D$4,0)*$D$7</f>
        <v>4</v>
      </c>
      <c r="F46" s="32">
        <f>ROUNDUP('Гарантия (машины)'!D37/$D$4,0)*$D$8</f>
        <v>2</v>
      </c>
      <c r="G46" s="32">
        <f>ROUNDUP('Гарантия (машины)'!D37/$D$4,0)*$D$9</f>
        <v>2</v>
      </c>
      <c r="H46" s="32">
        <f>ROUNDUP('Гарантия (машины)'!D37/$D$4,0)*$D$10</f>
        <v>4</v>
      </c>
      <c r="I46" s="32">
        <f>ROUNDUP('Гарантия (машины)'!E37/$D$4,0)*$D$5</f>
        <v>1</v>
      </c>
      <c r="J46" s="32">
        <f>ROUNDUP('Гарантия (машины)'!E37/$D$4,0)*$D$6</f>
        <v>2</v>
      </c>
      <c r="K46" s="32">
        <f>ROUNDUP('Гарантия (машины)'!E37/$D$4,0)*$D$7</f>
        <v>1</v>
      </c>
      <c r="L46" s="32">
        <f>ROUNDUP('Гарантия (машины)'!F37/$D$4,0)*$D$8</f>
        <v>0</v>
      </c>
      <c r="M46" s="32">
        <f>ROUNDUP('Гарантия (машины)'!F37/$D$4,0)*$D$9</f>
        <v>0</v>
      </c>
      <c r="N46" s="32">
        <f>ROUNDUP('Гарантия (машины)'!F37/$D$4,0)*$D$10</f>
        <v>0</v>
      </c>
      <c r="O46" s="32">
        <f>ROUNDUP('Гарантия (машины)'!G37/$D$4,0)*$D$5</f>
        <v>2</v>
      </c>
      <c r="P46" s="32">
        <f>ROUNDUP('Гарантия (машины)'!G37/$D$4,0)*$D$6</f>
        <v>4</v>
      </c>
      <c r="Q46" s="32">
        <f>ROUNDUP('Гарантия (машины)'!G37/$D$4,0)*$D$7</f>
        <v>2</v>
      </c>
      <c r="R46" s="32">
        <f>ROUNDUP('Гарантия (машины)'!H37/$D$4,0)*$D$8</f>
        <v>1</v>
      </c>
      <c r="S46" s="32">
        <f>ROUNDUP('Гарантия (машины)'!H37/$D$4,0)*$D$9</f>
        <v>1</v>
      </c>
      <c r="T46" s="32">
        <f>ROUNDUP('Гарантия (машины)'!H37/$D$4,0)*$D$10</f>
        <v>2</v>
      </c>
      <c r="U46" s="32">
        <f>ROUNDUP('Гарантия (машины)'!I37/$D$4,0)*$D$8</f>
        <v>3</v>
      </c>
      <c r="V46" s="32">
        <f>ROUNDUP('Гарантия (машины)'!I37/$D$4,0)*$D$9</f>
        <v>3</v>
      </c>
      <c r="W46" s="32">
        <f>ROUNDUP('Гарантия (машины)'!I37/$D$4,0)*$D$10</f>
        <v>6</v>
      </c>
    </row>
    <row r="47">
      <c r="A47" s="31" t="n">
        <v>46327</v>
      </c>
      <c r="B47" s="32">
        <f>YEAR(A47)</f>
        <v>2026</v>
      </c>
      <c r="C47" s="32">
        <f>ROUNDUP('Гарантия (машины)'!C38/$D$4,0)*$D$5</f>
        <v>5</v>
      </c>
      <c r="D47" s="32">
        <f>ROUNDUP('Гарантия (машины)'!C38/$D$4,0)*$D$6</f>
        <v>10</v>
      </c>
      <c r="E47" s="32">
        <f>ROUNDUP('Гарантия (машины)'!C38/$D$4,0)*$D$7</f>
        <v>5</v>
      </c>
      <c r="F47" s="32">
        <f>ROUNDUP('Гарантия (машины)'!D38/$D$4,0)*$D$8</f>
        <v>3</v>
      </c>
      <c r="G47" s="32">
        <f>ROUNDUP('Гарантия (машины)'!D38/$D$4,0)*$D$9</f>
        <v>3</v>
      </c>
      <c r="H47" s="32">
        <f>ROUNDUP('Гарантия (машины)'!D38/$D$4,0)*$D$10</f>
        <v>6</v>
      </c>
      <c r="I47" s="32">
        <f>ROUNDUP('Гарантия (машины)'!E38/$D$4,0)*$D$5</f>
        <v>1</v>
      </c>
      <c r="J47" s="32">
        <f>ROUNDUP('Гарантия (машины)'!E38/$D$4,0)*$D$6</f>
        <v>2</v>
      </c>
      <c r="K47" s="32">
        <f>ROUNDUP('Гарантия (машины)'!E38/$D$4,0)*$D$7</f>
        <v>1</v>
      </c>
      <c r="L47" s="32">
        <f>ROUNDUP('Гарантия (машины)'!F38/$D$4,0)*$D$8</f>
        <v>0</v>
      </c>
      <c r="M47" s="32">
        <f>ROUNDUP('Гарантия (машины)'!F38/$D$4,0)*$D$9</f>
        <v>0</v>
      </c>
      <c r="N47" s="32">
        <f>ROUNDUP('Гарантия (машины)'!F38/$D$4,0)*$D$10</f>
        <v>0</v>
      </c>
      <c r="O47" s="32">
        <f>ROUNDUP('Гарантия (машины)'!G38/$D$4,0)*$D$5</f>
        <v>2</v>
      </c>
      <c r="P47" s="32">
        <f>ROUNDUP('Гарантия (машины)'!G38/$D$4,0)*$D$6</f>
        <v>4</v>
      </c>
      <c r="Q47" s="32">
        <f>ROUNDUP('Гарантия (машины)'!G38/$D$4,0)*$D$7</f>
        <v>2</v>
      </c>
      <c r="R47" s="32">
        <f>ROUNDUP('Гарантия (машины)'!H38/$D$4,0)*$D$8</f>
        <v>1</v>
      </c>
      <c r="S47" s="32">
        <f>ROUNDUP('Гарантия (машины)'!H38/$D$4,0)*$D$9</f>
        <v>1</v>
      </c>
      <c r="T47" s="32">
        <f>ROUNDUP('Гарантия (машины)'!H38/$D$4,0)*$D$10</f>
        <v>2</v>
      </c>
      <c r="U47" s="32">
        <f>ROUNDUP('Гарантия (машины)'!I38/$D$4,0)*$D$8</f>
        <v>3</v>
      </c>
      <c r="V47" s="32">
        <f>ROUNDUP('Гарантия (машины)'!I38/$D$4,0)*$D$9</f>
        <v>3</v>
      </c>
      <c r="W47" s="32">
        <f>ROUNDUP('Гарантия (машины)'!I38/$D$4,0)*$D$10</f>
        <v>6</v>
      </c>
    </row>
    <row r="48">
      <c r="A48" s="31" t="n">
        <v>46357</v>
      </c>
      <c r="B48" s="32">
        <f>YEAR(A48)</f>
        <v>2026</v>
      </c>
      <c r="C48" s="32">
        <f>ROUNDUP('Гарантия (машины)'!C39/$D$4,0)*$D$5</f>
        <v>5</v>
      </c>
      <c r="D48" s="32">
        <f>ROUNDUP('Гарантия (машины)'!C39/$D$4,0)*$D$6</f>
        <v>10</v>
      </c>
      <c r="E48" s="32">
        <f>ROUNDUP('Гарантия (машины)'!C39/$D$4,0)*$D$7</f>
        <v>5</v>
      </c>
      <c r="F48" s="32">
        <f>ROUNDUP('Гарантия (машины)'!D39/$D$4,0)*$D$8</f>
        <v>3</v>
      </c>
      <c r="G48" s="32">
        <f>ROUNDUP('Гарантия (машины)'!D39/$D$4,0)*$D$9</f>
        <v>3</v>
      </c>
      <c r="H48" s="32">
        <f>ROUNDUP('Гарантия (машины)'!D39/$D$4,0)*$D$10</f>
        <v>6</v>
      </c>
      <c r="I48" s="32">
        <f>ROUNDUP('Гарантия (машины)'!E39/$D$4,0)*$D$5</f>
        <v>1</v>
      </c>
      <c r="J48" s="32">
        <f>ROUNDUP('Гарантия (машины)'!E39/$D$4,0)*$D$6</f>
        <v>2</v>
      </c>
      <c r="K48" s="32">
        <f>ROUNDUP('Гарантия (машины)'!E39/$D$4,0)*$D$7</f>
        <v>1</v>
      </c>
      <c r="L48" s="32">
        <f>ROUNDUP('Гарантия (машины)'!F39/$D$4,0)*$D$8</f>
        <v>0</v>
      </c>
      <c r="M48" s="32">
        <f>ROUNDUP('Гарантия (машины)'!F39/$D$4,0)*$D$9</f>
        <v>0</v>
      </c>
      <c r="N48" s="32">
        <f>ROUNDUP('Гарантия (машины)'!F39/$D$4,0)*$D$10</f>
        <v>0</v>
      </c>
      <c r="O48" s="32">
        <f>ROUNDUP('Гарантия (машины)'!G39/$D$4,0)*$D$5</f>
        <v>2</v>
      </c>
      <c r="P48" s="32">
        <f>ROUNDUP('Гарантия (машины)'!G39/$D$4,0)*$D$6</f>
        <v>4</v>
      </c>
      <c r="Q48" s="32">
        <f>ROUNDUP('Гарантия (машины)'!G39/$D$4,0)*$D$7</f>
        <v>2</v>
      </c>
      <c r="R48" s="32">
        <f>ROUNDUP('Гарантия (машины)'!H39/$D$4,0)*$D$8</f>
        <v>1</v>
      </c>
      <c r="S48" s="32">
        <f>ROUNDUP('Гарантия (машины)'!H39/$D$4,0)*$D$9</f>
        <v>1</v>
      </c>
      <c r="T48" s="32">
        <f>ROUNDUP('Гарантия (машины)'!H39/$D$4,0)*$D$10</f>
        <v>2</v>
      </c>
      <c r="U48" s="32">
        <f>ROUNDUP('Гарантия (машины)'!I39/$D$4,0)*$D$8</f>
        <v>3</v>
      </c>
      <c r="V48" s="32">
        <f>ROUNDUP('Гарантия (машины)'!I39/$D$4,0)*$D$9</f>
        <v>3</v>
      </c>
      <c r="W48" s="32">
        <f>ROUNDUP('Гарантия (машины)'!I39/$D$4,0)*$D$10</f>
        <v>6</v>
      </c>
    </row>
    <row r="49">
      <c r="A49" s="31" t="n">
        <v>46388</v>
      </c>
      <c r="B49" s="32">
        <f>YEAR(A49)</f>
        <v>2027</v>
      </c>
      <c r="C49" s="32">
        <f>ROUNDUP('Гарантия (машины)'!C40/$D$4,0)*$D$5</f>
        <v>6</v>
      </c>
      <c r="D49" s="32">
        <f>ROUNDUP('Гарантия (машины)'!C40/$D$4,0)*$D$6</f>
        <v>12</v>
      </c>
      <c r="E49" s="32">
        <f>ROUNDUP('Гарантия (машины)'!C40/$D$4,0)*$D$7</f>
        <v>6</v>
      </c>
      <c r="F49" s="32">
        <f>ROUNDUP('Гарантия (машины)'!D40/$D$4,0)*$D$8</f>
        <v>3</v>
      </c>
      <c r="G49" s="32">
        <f>ROUNDUP('Гарантия (машины)'!D40/$D$4,0)*$D$9</f>
        <v>3</v>
      </c>
      <c r="H49" s="32">
        <f>ROUNDUP('Гарантия (машины)'!D40/$D$4,0)*$D$10</f>
        <v>6</v>
      </c>
      <c r="I49" s="32">
        <f>ROUNDUP('Гарантия (машины)'!E40/$D$4,0)*$D$5</f>
        <v>1</v>
      </c>
      <c r="J49" s="32">
        <f>ROUNDUP('Гарантия (машины)'!E40/$D$4,0)*$D$6</f>
        <v>2</v>
      </c>
      <c r="K49" s="32">
        <f>ROUNDUP('Гарантия (машины)'!E40/$D$4,0)*$D$7</f>
        <v>1</v>
      </c>
      <c r="L49" s="32">
        <f>ROUNDUP('Гарантия (машины)'!F40/$D$4,0)*$D$8</f>
        <v>0</v>
      </c>
      <c r="M49" s="32">
        <f>ROUNDUP('Гарантия (машины)'!F40/$D$4,0)*$D$9</f>
        <v>0</v>
      </c>
      <c r="N49" s="32">
        <f>ROUNDUP('Гарантия (машины)'!F40/$D$4,0)*$D$10</f>
        <v>0</v>
      </c>
      <c r="O49" s="32">
        <f>ROUNDUP('Гарантия (машины)'!G40/$D$4,0)*$D$5</f>
        <v>2</v>
      </c>
      <c r="P49" s="32">
        <f>ROUNDUP('Гарантия (машины)'!G40/$D$4,0)*$D$6</f>
        <v>4</v>
      </c>
      <c r="Q49" s="32">
        <f>ROUNDUP('Гарантия (машины)'!G40/$D$4,0)*$D$7</f>
        <v>2</v>
      </c>
      <c r="R49" s="32">
        <f>ROUNDUP('Гарантия (машины)'!H40/$D$4,0)*$D$8</f>
        <v>1</v>
      </c>
      <c r="S49" s="32">
        <f>ROUNDUP('Гарантия (машины)'!H40/$D$4,0)*$D$9</f>
        <v>1</v>
      </c>
      <c r="T49" s="32">
        <f>ROUNDUP('Гарантия (машины)'!H40/$D$4,0)*$D$10</f>
        <v>2</v>
      </c>
      <c r="U49" s="32">
        <f>ROUNDUP('Гарантия (машины)'!I40/$D$4,0)*$D$8</f>
        <v>3</v>
      </c>
      <c r="V49" s="32">
        <f>ROUNDUP('Гарантия (машины)'!I40/$D$4,0)*$D$9</f>
        <v>3</v>
      </c>
      <c r="W49" s="32">
        <f>ROUNDUP('Гарантия (машины)'!I40/$D$4,0)*$D$10</f>
        <v>6</v>
      </c>
    </row>
    <row r="50">
      <c r="A50" s="31" t="n">
        <v>46419</v>
      </c>
      <c r="B50" s="32">
        <f>YEAR(A50)</f>
        <v>2027</v>
      </c>
      <c r="C50" s="32">
        <f>ROUNDUP('Гарантия (машины)'!C41/$D$4,0)*$D$5</f>
        <v>6</v>
      </c>
      <c r="D50" s="32">
        <f>ROUNDUP('Гарантия (машины)'!C41/$D$4,0)*$D$6</f>
        <v>12</v>
      </c>
      <c r="E50" s="32">
        <f>ROUNDUP('Гарантия (машины)'!C41/$D$4,0)*$D$7</f>
        <v>6</v>
      </c>
      <c r="F50" s="32">
        <f>ROUNDUP('Гарантия (машины)'!D41/$D$4,0)*$D$8</f>
        <v>3</v>
      </c>
      <c r="G50" s="32">
        <f>ROUNDUP('Гарантия (машины)'!D41/$D$4,0)*$D$9</f>
        <v>3</v>
      </c>
      <c r="H50" s="32">
        <f>ROUNDUP('Гарантия (машины)'!D41/$D$4,0)*$D$10</f>
        <v>6</v>
      </c>
      <c r="I50" s="32">
        <f>ROUNDUP('Гарантия (машины)'!E41/$D$4,0)*$D$5</f>
        <v>1</v>
      </c>
      <c r="J50" s="32">
        <f>ROUNDUP('Гарантия (машины)'!E41/$D$4,0)*$D$6</f>
        <v>2</v>
      </c>
      <c r="K50" s="32">
        <f>ROUNDUP('Гарантия (машины)'!E41/$D$4,0)*$D$7</f>
        <v>1</v>
      </c>
      <c r="L50" s="32">
        <f>ROUNDUP('Гарантия (машины)'!F41/$D$4,0)*$D$8</f>
        <v>0</v>
      </c>
      <c r="M50" s="32">
        <f>ROUNDUP('Гарантия (машины)'!F41/$D$4,0)*$D$9</f>
        <v>0</v>
      </c>
      <c r="N50" s="32">
        <f>ROUNDUP('Гарантия (машины)'!F41/$D$4,0)*$D$10</f>
        <v>0</v>
      </c>
      <c r="O50" s="32">
        <f>ROUNDUP('Гарантия (машины)'!G41/$D$4,0)*$D$5</f>
        <v>2</v>
      </c>
      <c r="P50" s="32">
        <f>ROUNDUP('Гарантия (машины)'!G41/$D$4,0)*$D$6</f>
        <v>4</v>
      </c>
      <c r="Q50" s="32">
        <f>ROUNDUP('Гарантия (машины)'!G41/$D$4,0)*$D$7</f>
        <v>2</v>
      </c>
      <c r="R50" s="32">
        <f>ROUNDUP('Гарантия (машины)'!H41/$D$4,0)*$D$8</f>
        <v>1</v>
      </c>
      <c r="S50" s="32">
        <f>ROUNDUP('Гарантия (машины)'!H41/$D$4,0)*$D$9</f>
        <v>1</v>
      </c>
      <c r="T50" s="32">
        <f>ROUNDUP('Гарантия (машины)'!H41/$D$4,0)*$D$10</f>
        <v>2</v>
      </c>
      <c r="U50" s="32">
        <f>ROUNDUP('Гарантия (машины)'!I41/$D$4,0)*$D$8</f>
        <v>3</v>
      </c>
      <c r="V50" s="32">
        <f>ROUNDUP('Гарантия (машины)'!I41/$D$4,0)*$D$9</f>
        <v>3</v>
      </c>
      <c r="W50" s="32">
        <f>ROUNDUP('Гарантия (машины)'!I41/$D$4,0)*$D$10</f>
        <v>6</v>
      </c>
    </row>
    <row r="51">
      <c r="A51" s="31" t="n">
        <v>46447</v>
      </c>
      <c r="B51" s="32">
        <f>YEAR(A51)</f>
        <v>2027</v>
      </c>
      <c r="C51" s="32">
        <f>ROUNDUP('Гарантия (машины)'!C42/$D$4,0)*$D$5</f>
        <v>6</v>
      </c>
      <c r="D51" s="32">
        <f>ROUNDUP('Гарантия (машины)'!C42/$D$4,0)*$D$6</f>
        <v>12</v>
      </c>
      <c r="E51" s="32">
        <f>ROUNDUP('Гарантия (машины)'!C42/$D$4,0)*$D$7</f>
        <v>6</v>
      </c>
      <c r="F51" s="32">
        <f>ROUNDUP('Гарантия (машины)'!D42/$D$4,0)*$D$8</f>
        <v>3</v>
      </c>
      <c r="G51" s="32">
        <f>ROUNDUP('Гарантия (машины)'!D42/$D$4,0)*$D$9</f>
        <v>3</v>
      </c>
      <c r="H51" s="32">
        <f>ROUNDUP('Гарантия (машины)'!D42/$D$4,0)*$D$10</f>
        <v>6</v>
      </c>
      <c r="I51" s="32">
        <f>ROUNDUP('Гарантия (машины)'!E42/$D$4,0)*$D$5</f>
        <v>1</v>
      </c>
      <c r="J51" s="32">
        <f>ROUNDUP('Гарантия (машины)'!E42/$D$4,0)*$D$6</f>
        <v>2</v>
      </c>
      <c r="K51" s="32">
        <f>ROUNDUP('Гарантия (машины)'!E42/$D$4,0)*$D$7</f>
        <v>1</v>
      </c>
      <c r="L51" s="32">
        <f>ROUNDUP('Гарантия (машины)'!F42/$D$4,0)*$D$8</f>
        <v>0</v>
      </c>
      <c r="M51" s="32">
        <f>ROUNDUP('Гарантия (машины)'!F42/$D$4,0)*$D$9</f>
        <v>0</v>
      </c>
      <c r="N51" s="32">
        <f>ROUNDUP('Гарантия (машины)'!F42/$D$4,0)*$D$10</f>
        <v>0</v>
      </c>
      <c r="O51" s="32">
        <f>ROUNDUP('Гарантия (машины)'!G42/$D$4,0)*$D$5</f>
        <v>2</v>
      </c>
      <c r="P51" s="32">
        <f>ROUNDUP('Гарантия (машины)'!G42/$D$4,0)*$D$6</f>
        <v>4</v>
      </c>
      <c r="Q51" s="32">
        <f>ROUNDUP('Гарантия (машины)'!G42/$D$4,0)*$D$7</f>
        <v>2</v>
      </c>
      <c r="R51" s="32">
        <f>ROUNDUP('Гарантия (машины)'!H42/$D$4,0)*$D$8</f>
        <v>1</v>
      </c>
      <c r="S51" s="32">
        <f>ROUNDUP('Гарантия (машины)'!H42/$D$4,0)*$D$9</f>
        <v>1</v>
      </c>
      <c r="T51" s="32">
        <f>ROUNDUP('Гарантия (машины)'!H42/$D$4,0)*$D$10</f>
        <v>2</v>
      </c>
      <c r="U51" s="32">
        <f>ROUNDUP('Гарантия (машины)'!I42/$D$4,0)*$D$8</f>
        <v>3</v>
      </c>
      <c r="V51" s="32">
        <f>ROUNDUP('Гарантия (машины)'!I42/$D$4,0)*$D$9</f>
        <v>3</v>
      </c>
      <c r="W51" s="32">
        <f>ROUNDUP('Гарантия (машины)'!I42/$D$4,0)*$D$10</f>
        <v>6</v>
      </c>
    </row>
    <row r="52">
      <c r="A52" s="31" t="n">
        <v>46478</v>
      </c>
      <c r="B52" s="32">
        <f>YEAR(A52)</f>
        <v>2027</v>
      </c>
      <c r="C52" s="32">
        <f>ROUNDUP('Гарантия (машины)'!C43/$D$4,0)*$D$5</f>
        <v>6</v>
      </c>
      <c r="D52" s="32">
        <f>ROUNDUP('Гарантия (машины)'!C43/$D$4,0)*$D$6</f>
        <v>12</v>
      </c>
      <c r="E52" s="32">
        <f>ROUNDUP('Гарантия (машины)'!C43/$D$4,0)*$D$7</f>
        <v>6</v>
      </c>
      <c r="F52" s="32">
        <f>ROUNDUP('Гарантия (машины)'!D43/$D$4,0)*$D$8</f>
        <v>3</v>
      </c>
      <c r="G52" s="32">
        <f>ROUNDUP('Гарантия (машины)'!D43/$D$4,0)*$D$9</f>
        <v>3</v>
      </c>
      <c r="H52" s="32">
        <f>ROUNDUP('Гарантия (машины)'!D43/$D$4,0)*$D$10</f>
        <v>6</v>
      </c>
      <c r="I52" s="32">
        <f>ROUNDUP('Гарантия (машины)'!E43/$D$4,0)*$D$5</f>
        <v>2</v>
      </c>
      <c r="J52" s="32">
        <f>ROUNDUP('Гарантия (машины)'!E43/$D$4,0)*$D$6</f>
        <v>4</v>
      </c>
      <c r="K52" s="32">
        <f>ROUNDUP('Гарантия (машины)'!E43/$D$4,0)*$D$7</f>
        <v>2</v>
      </c>
      <c r="L52" s="32">
        <f>ROUNDUP('Гарантия (машины)'!F43/$D$4,0)*$D$8</f>
        <v>0</v>
      </c>
      <c r="M52" s="32">
        <f>ROUNDUP('Гарантия (машины)'!F43/$D$4,0)*$D$9</f>
        <v>0</v>
      </c>
      <c r="N52" s="32">
        <f>ROUNDUP('Гарантия (машины)'!F43/$D$4,0)*$D$10</f>
        <v>0</v>
      </c>
      <c r="O52" s="32">
        <f>ROUNDUP('Гарантия (машины)'!G43/$D$4,0)*$D$5</f>
        <v>2</v>
      </c>
      <c r="P52" s="32">
        <f>ROUNDUP('Гарантия (машины)'!G43/$D$4,0)*$D$6</f>
        <v>4</v>
      </c>
      <c r="Q52" s="32">
        <f>ROUNDUP('Гарантия (машины)'!G43/$D$4,0)*$D$7</f>
        <v>2</v>
      </c>
      <c r="R52" s="32">
        <f>ROUNDUP('Гарантия (машины)'!H43/$D$4,0)*$D$8</f>
        <v>1</v>
      </c>
      <c r="S52" s="32">
        <f>ROUNDUP('Гарантия (машины)'!H43/$D$4,0)*$D$9</f>
        <v>1</v>
      </c>
      <c r="T52" s="32">
        <f>ROUNDUP('Гарантия (машины)'!H43/$D$4,0)*$D$10</f>
        <v>2</v>
      </c>
      <c r="U52" s="32">
        <f>ROUNDUP('Гарантия (машины)'!I43/$D$4,0)*$D$8</f>
        <v>3</v>
      </c>
      <c r="V52" s="32">
        <f>ROUNDUP('Гарантия (машины)'!I43/$D$4,0)*$D$9</f>
        <v>3</v>
      </c>
      <c r="W52" s="32">
        <f>ROUNDUP('Гарантия (машины)'!I43/$D$4,0)*$D$10</f>
        <v>6</v>
      </c>
    </row>
    <row r="53">
      <c r="A53" s="31" t="n">
        <v>46508</v>
      </c>
      <c r="B53" s="32">
        <f>YEAR(A53)</f>
        <v>2027</v>
      </c>
      <c r="C53" s="32">
        <f>ROUNDUP('Гарантия (машины)'!C44/$D$4,0)*$D$5</f>
        <v>6</v>
      </c>
      <c r="D53" s="32">
        <f>ROUNDUP('Гарантия (машины)'!C44/$D$4,0)*$D$6</f>
        <v>12</v>
      </c>
      <c r="E53" s="32">
        <f>ROUNDUP('Гарантия (машины)'!C44/$D$4,0)*$D$7</f>
        <v>6</v>
      </c>
      <c r="F53" s="32">
        <f>ROUNDUP('Гарантия (машины)'!D44/$D$4,0)*$D$8</f>
        <v>3</v>
      </c>
      <c r="G53" s="32">
        <f>ROUNDUP('Гарантия (машины)'!D44/$D$4,0)*$D$9</f>
        <v>3</v>
      </c>
      <c r="H53" s="32">
        <f>ROUNDUP('Гарантия (машины)'!D44/$D$4,0)*$D$10</f>
        <v>6</v>
      </c>
      <c r="I53" s="32">
        <f>ROUNDUP('Гарантия (машины)'!E44/$D$4,0)*$D$5</f>
        <v>2</v>
      </c>
      <c r="J53" s="32">
        <f>ROUNDUP('Гарантия (машины)'!E44/$D$4,0)*$D$6</f>
        <v>4</v>
      </c>
      <c r="K53" s="32">
        <f>ROUNDUP('Гарантия (машины)'!E44/$D$4,0)*$D$7</f>
        <v>2</v>
      </c>
      <c r="L53" s="32">
        <f>ROUNDUP('Гарантия (машины)'!F44/$D$4,0)*$D$8</f>
        <v>0</v>
      </c>
      <c r="M53" s="32">
        <f>ROUNDUP('Гарантия (машины)'!F44/$D$4,0)*$D$9</f>
        <v>0</v>
      </c>
      <c r="N53" s="32">
        <f>ROUNDUP('Гарантия (машины)'!F44/$D$4,0)*$D$10</f>
        <v>0</v>
      </c>
      <c r="O53" s="32">
        <f>ROUNDUP('Гарантия (машины)'!G44/$D$4,0)*$D$5</f>
        <v>2</v>
      </c>
      <c r="P53" s="32">
        <f>ROUNDUP('Гарантия (машины)'!G44/$D$4,0)*$D$6</f>
        <v>4</v>
      </c>
      <c r="Q53" s="32">
        <f>ROUNDUP('Гарантия (машины)'!G44/$D$4,0)*$D$7</f>
        <v>2</v>
      </c>
      <c r="R53" s="32">
        <f>ROUNDUP('Гарантия (машины)'!H44/$D$4,0)*$D$8</f>
        <v>1</v>
      </c>
      <c r="S53" s="32">
        <f>ROUNDUP('Гарантия (машины)'!H44/$D$4,0)*$D$9</f>
        <v>1</v>
      </c>
      <c r="T53" s="32">
        <f>ROUNDUP('Гарантия (машины)'!H44/$D$4,0)*$D$10</f>
        <v>2</v>
      </c>
      <c r="U53" s="32">
        <f>ROUNDUP('Гарантия (машины)'!I44/$D$4,0)*$D$8</f>
        <v>3</v>
      </c>
      <c r="V53" s="32">
        <f>ROUNDUP('Гарантия (машины)'!I44/$D$4,0)*$D$9</f>
        <v>3</v>
      </c>
      <c r="W53" s="32">
        <f>ROUNDUP('Гарантия (машины)'!I44/$D$4,0)*$D$10</f>
        <v>6</v>
      </c>
    </row>
    <row r="54">
      <c r="A54" s="31" t="n">
        <v>46539</v>
      </c>
      <c r="B54" s="32">
        <f>YEAR(A54)</f>
        <v>2027</v>
      </c>
      <c r="C54" s="32">
        <f>ROUNDUP('Гарантия (машины)'!C45/$D$4,0)*$D$5</f>
        <v>6</v>
      </c>
      <c r="D54" s="32">
        <f>ROUNDUP('Гарантия (машины)'!C45/$D$4,0)*$D$6</f>
        <v>12</v>
      </c>
      <c r="E54" s="32">
        <f>ROUNDUP('Гарантия (машины)'!C45/$D$4,0)*$D$7</f>
        <v>6</v>
      </c>
      <c r="F54" s="32">
        <f>ROUNDUP('Гарантия (машины)'!D45/$D$4,0)*$D$8</f>
        <v>3</v>
      </c>
      <c r="G54" s="32">
        <f>ROUNDUP('Гарантия (машины)'!D45/$D$4,0)*$D$9</f>
        <v>3</v>
      </c>
      <c r="H54" s="32">
        <f>ROUNDUP('Гарантия (машины)'!D45/$D$4,0)*$D$10</f>
        <v>6</v>
      </c>
      <c r="I54" s="32">
        <f>ROUNDUP('Гарантия (машины)'!E45/$D$4,0)*$D$5</f>
        <v>3</v>
      </c>
      <c r="J54" s="32">
        <f>ROUNDUP('Гарантия (машины)'!E45/$D$4,0)*$D$6</f>
        <v>6</v>
      </c>
      <c r="K54" s="32">
        <f>ROUNDUP('Гарантия (машины)'!E45/$D$4,0)*$D$7</f>
        <v>3</v>
      </c>
      <c r="L54" s="32">
        <f>ROUNDUP('Гарантия (машины)'!F45/$D$4,0)*$D$8</f>
        <v>0</v>
      </c>
      <c r="M54" s="32">
        <f>ROUNDUP('Гарантия (машины)'!F45/$D$4,0)*$D$9</f>
        <v>0</v>
      </c>
      <c r="N54" s="32">
        <f>ROUNDUP('Гарантия (машины)'!F45/$D$4,0)*$D$10</f>
        <v>0</v>
      </c>
      <c r="O54" s="32">
        <f>ROUNDUP('Гарантия (машины)'!G45/$D$4,0)*$D$5</f>
        <v>2</v>
      </c>
      <c r="P54" s="32">
        <f>ROUNDUP('Гарантия (машины)'!G45/$D$4,0)*$D$6</f>
        <v>4</v>
      </c>
      <c r="Q54" s="32">
        <f>ROUNDUP('Гарантия (машины)'!G45/$D$4,0)*$D$7</f>
        <v>2</v>
      </c>
      <c r="R54" s="32">
        <f>ROUNDUP('Гарантия (машины)'!H45/$D$4,0)*$D$8</f>
        <v>1</v>
      </c>
      <c r="S54" s="32">
        <f>ROUNDUP('Гарантия (машины)'!H45/$D$4,0)*$D$9</f>
        <v>1</v>
      </c>
      <c r="T54" s="32">
        <f>ROUNDUP('Гарантия (машины)'!H45/$D$4,0)*$D$10</f>
        <v>2</v>
      </c>
      <c r="U54" s="32">
        <f>ROUNDUP('Гарантия (машины)'!I45/$D$4,0)*$D$8</f>
        <v>3</v>
      </c>
      <c r="V54" s="32">
        <f>ROUNDUP('Гарантия (машины)'!I45/$D$4,0)*$D$9</f>
        <v>3</v>
      </c>
      <c r="W54" s="32">
        <f>ROUNDUP('Гарантия (машины)'!I45/$D$4,0)*$D$10</f>
        <v>6</v>
      </c>
    </row>
    <row r="55">
      <c r="A55" s="31" t="n">
        <v>46569</v>
      </c>
      <c r="B55" s="32">
        <f>YEAR(A55)</f>
        <v>2027</v>
      </c>
      <c r="C55" s="32">
        <f>ROUNDUP('Гарантия (машины)'!C46/$D$4,0)*$D$5</f>
        <v>6</v>
      </c>
      <c r="D55" s="32">
        <f>ROUNDUP('Гарантия (машины)'!C46/$D$4,0)*$D$6</f>
        <v>12</v>
      </c>
      <c r="E55" s="32">
        <f>ROUNDUP('Гарантия (машины)'!C46/$D$4,0)*$D$7</f>
        <v>6</v>
      </c>
      <c r="F55" s="32">
        <f>ROUNDUP('Гарантия (машины)'!D46/$D$4,0)*$D$8</f>
        <v>3</v>
      </c>
      <c r="G55" s="32">
        <f>ROUNDUP('Гарантия (машины)'!D46/$D$4,0)*$D$9</f>
        <v>3</v>
      </c>
      <c r="H55" s="32">
        <f>ROUNDUP('Гарантия (машины)'!D46/$D$4,0)*$D$10</f>
        <v>6</v>
      </c>
      <c r="I55" s="32">
        <f>ROUNDUP('Гарантия (машины)'!E46/$D$4,0)*$D$5</f>
        <v>3</v>
      </c>
      <c r="J55" s="32">
        <f>ROUNDUP('Гарантия (машины)'!E46/$D$4,0)*$D$6</f>
        <v>6</v>
      </c>
      <c r="K55" s="32">
        <f>ROUNDUP('Гарантия (машины)'!E46/$D$4,0)*$D$7</f>
        <v>3</v>
      </c>
      <c r="L55" s="32">
        <f>ROUNDUP('Гарантия (машины)'!F46/$D$4,0)*$D$8</f>
        <v>0</v>
      </c>
      <c r="M55" s="32">
        <f>ROUNDUP('Гарантия (машины)'!F46/$D$4,0)*$D$9</f>
        <v>0</v>
      </c>
      <c r="N55" s="32">
        <f>ROUNDUP('Гарантия (машины)'!F46/$D$4,0)*$D$10</f>
        <v>0</v>
      </c>
      <c r="O55" s="32">
        <f>ROUNDUP('Гарантия (машины)'!G46/$D$4,0)*$D$5</f>
        <v>2</v>
      </c>
      <c r="P55" s="32">
        <f>ROUNDUP('Гарантия (машины)'!G46/$D$4,0)*$D$6</f>
        <v>4</v>
      </c>
      <c r="Q55" s="32">
        <f>ROUNDUP('Гарантия (машины)'!G46/$D$4,0)*$D$7</f>
        <v>2</v>
      </c>
      <c r="R55" s="32">
        <f>ROUNDUP('Гарантия (машины)'!H46/$D$4,0)*$D$8</f>
        <v>1</v>
      </c>
      <c r="S55" s="32">
        <f>ROUNDUP('Гарантия (машины)'!H46/$D$4,0)*$D$9</f>
        <v>1</v>
      </c>
      <c r="T55" s="32">
        <f>ROUNDUP('Гарантия (машины)'!H46/$D$4,0)*$D$10</f>
        <v>2</v>
      </c>
      <c r="U55" s="32">
        <f>ROUNDUP('Гарантия (машины)'!I46/$D$4,0)*$D$8</f>
        <v>3</v>
      </c>
      <c r="V55" s="32">
        <f>ROUNDUP('Гарантия (машины)'!I46/$D$4,0)*$D$9</f>
        <v>3</v>
      </c>
      <c r="W55" s="32">
        <f>ROUNDUP('Гарантия (машины)'!I46/$D$4,0)*$D$10</f>
        <v>6</v>
      </c>
    </row>
    <row r="56">
      <c r="A56" s="31" t="n">
        <v>46600</v>
      </c>
      <c r="B56" s="32">
        <f>YEAR(A56)</f>
        <v>2027</v>
      </c>
      <c r="C56" s="32">
        <f>ROUNDUP('Гарантия (машины)'!C47/$D$4,0)*$D$5</f>
        <v>6</v>
      </c>
      <c r="D56" s="32">
        <f>ROUNDUP('Гарантия (машины)'!C47/$D$4,0)*$D$6</f>
        <v>12</v>
      </c>
      <c r="E56" s="32">
        <f>ROUNDUP('Гарантия (машины)'!C47/$D$4,0)*$D$7</f>
        <v>6</v>
      </c>
      <c r="F56" s="32">
        <f>ROUNDUP('Гарантия (машины)'!D47/$D$4,0)*$D$8</f>
        <v>3</v>
      </c>
      <c r="G56" s="32">
        <f>ROUNDUP('Гарантия (машины)'!D47/$D$4,0)*$D$9</f>
        <v>3</v>
      </c>
      <c r="H56" s="32">
        <f>ROUNDUP('Гарантия (машины)'!D47/$D$4,0)*$D$10</f>
        <v>6</v>
      </c>
      <c r="I56" s="32">
        <f>ROUNDUP('Гарантия (машины)'!E47/$D$4,0)*$D$5</f>
        <v>3</v>
      </c>
      <c r="J56" s="32">
        <f>ROUNDUP('Гарантия (машины)'!E47/$D$4,0)*$D$6</f>
        <v>6</v>
      </c>
      <c r="K56" s="32">
        <f>ROUNDUP('Гарантия (машины)'!E47/$D$4,0)*$D$7</f>
        <v>3</v>
      </c>
      <c r="L56" s="32">
        <f>ROUNDUP('Гарантия (машины)'!F47/$D$4,0)*$D$8</f>
        <v>0</v>
      </c>
      <c r="M56" s="32">
        <f>ROUNDUP('Гарантия (машины)'!F47/$D$4,0)*$D$9</f>
        <v>0</v>
      </c>
      <c r="N56" s="32">
        <f>ROUNDUP('Гарантия (машины)'!F47/$D$4,0)*$D$10</f>
        <v>0</v>
      </c>
      <c r="O56" s="32">
        <f>ROUNDUP('Гарантия (машины)'!G47/$D$4,0)*$D$5</f>
        <v>2</v>
      </c>
      <c r="P56" s="32">
        <f>ROUNDUP('Гарантия (машины)'!G47/$D$4,0)*$D$6</f>
        <v>4</v>
      </c>
      <c r="Q56" s="32">
        <f>ROUNDUP('Гарантия (машины)'!G47/$D$4,0)*$D$7</f>
        <v>2</v>
      </c>
      <c r="R56" s="32">
        <f>ROUNDUP('Гарантия (машины)'!H47/$D$4,0)*$D$8</f>
        <v>1</v>
      </c>
      <c r="S56" s="32">
        <f>ROUNDUP('Гарантия (машины)'!H47/$D$4,0)*$D$9</f>
        <v>1</v>
      </c>
      <c r="T56" s="32">
        <f>ROUNDUP('Гарантия (машины)'!H47/$D$4,0)*$D$10</f>
        <v>2</v>
      </c>
      <c r="U56" s="32">
        <f>ROUNDUP('Гарантия (машины)'!I47/$D$4,0)*$D$8</f>
        <v>2</v>
      </c>
      <c r="V56" s="32">
        <f>ROUNDUP('Гарантия (машины)'!I47/$D$4,0)*$D$9</f>
        <v>2</v>
      </c>
      <c r="W56" s="32">
        <f>ROUNDUP('Гарантия (машины)'!I47/$D$4,0)*$D$10</f>
        <v>4</v>
      </c>
    </row>
    <row r="57">
      <c r="A57" s="31" t="n">
        <v>46631</v>
      </c>
      <c r="B57" s="32">
        <f>YEAR(A57)</f>
        <v>2027</v>
      </c>
      <c r="C57" s="32">
        <f>ROUNDUP('Гарантия (машины)'!C48/$D$4,0)*$D$5</f>
        <v>6</v>
      </c>
      <c r="D57" s="32">
        <f>ROUNDUP('Гарантия (машины)'!C48/$D$4,0)*$D$6</f>
        <v>12</v>
      </c>
      <c r="E57" s="32">
        <f>ROUNDUP('Гарантия (машины)'!C48/$D$4,0)*$D$7</f>
        <v>6</v>
      </c>
      <c r="F57" s="32">
        <f>ROUNDUP('Гарантия (машины)'!D48/$D$4,0)*$D$8</f>
        <v>3</v>
      </c>
      <c r="G57" s="32">
        <f>ROUNDUP('Гарантия (машины)'!D48/$D$4,0)*$D$9</f>
        <v>3</v>
      </c>
      <c r="H57" s="32">
        <f>ROUNDUP('Гарантия (машины)'!D48/$D$4,0)*$D$10</f>
        <v>6</v>
      </c>
      <c r="I57" s="32">
        <f>ROUNDUP('Гарантия (машины)'!E48/$D$4,0)*$D$5</f>
        <v>4</v>
      </c>
      <c r="J57" s="32">
        <f>ROUNDUP('Гарантия (машины)'!E48/$D$4,0)*$D$6</f>
        <v>8</v>
      </c>
      <c r="K57" s="32">
        <f>ROUNDUP('Гарантия (машины)'!E48/$D$4,0)*$D$7</f>
        <v>4</v>
      </c>
      <c r="L57" s="32">
        <f>ROUNDUP('Гарантия (машины)'!F48/$D$4,0)*$D$8</f>
        <v>0</v>
      </c>
      <c r="M57" s="32">
        <f>ROUNDUP('Гарантия (машины)'!F48/$D$4,0)*$D$9</f>
        <v>0</v>
      </c>
      <c r="N57" s="32">
        <f>ROUNDUP('Гарантия (машины)'!F48/$D$4,0)*$D$10</f>
        <v>0</v>
      </c>
      <c r="O57" s="32">
        <f>ROUNDUP('Гарантия (машины)'!G48/$D$4,0)*$D$5</f>
        <v>2</v>
      </c>
      <c r="P57" s="32">
        <f>ROUNDUP('Гарантия (машины)'!G48/$D$4,0)*$D$6</f>
        <v>4</v>
      </c>
      <c r="Q57" s="32">
        <f>ROUNDUP('Гарантия (машины)'!G48/$D$4,0)*$D$7</f>
        <v>2</v>
      </c>
      <c r="R57" s="32">
        <f>ROUNDUP('Гарантия (машины)'!H48/$D$4,0)*$D$8</f>
        <v>1</v>
      </c>
      <c r="S57" s="32">
        <f>ROUNDUP('Гарантия (машины)'!H48/$D$4,0)*$D$9</f>
        <v>1</v>
      </c>
      <c r="T57" s="32">
        <f>ROUNDUP('Гарантия (машины)'!H48/$D$4,0)*$D$10</f>
        <v>2</v>
      </c>
      <c r="U57" s="32">
        <f>ROUNDUP('Гарантия (машины)'!I48/$D$4,0)*$D$8</f>
        <v>2</v>
      </c>
      <c r="V57" s="32">
        <f>ROUNDUP('Гарантия (машины)'!I48/$D$4,0)*$D$9</f>
        <v>2</v>
      </c>
      <c r="W57" s="32">
        <f>ROUNDUP('Гарантия (машины)'!I48/$D$4,0)*$D$10</f>
        <v>4</v>
      </c>
    </row>
    <row r="58">
      <c r="A58" s="31" t="n">
        <v>46661</v>
      </c>
      <c r="B58" s="32">
        <f>YEAR(A58)</f>
        <v>2027</v>
      </c>
      <c r="C58" s="32">
        <f>ROUNDUP('Гарантия (машины)'!C49/$D$4,0)*$D$5</f>
        <v>6</v>
      </c>
      <c r="D58" s="32">
        <f>ROUNDUP('Гарантия (машины)'!C49/$D$4,0)*$D$6</f>
        <v>12</v>
      </c>
      <c r="E58" s="32">
        <f>ROUNDUP('Гарантия (машины)'!C49/$D$4,0)*$D$7</f>
        <v>6</v>
      </c>
      <c r="F58" s="32">
        <f>ROUNDUP('Гарантия (машины)'!D49/$D$4,0)*$D$8</f>
        <v>2</v>
      </c>
      <c r="G58" s="32">
        <f>ROUNDUP('Гарантия (машины)'!D49/$D$4,0)*$D$9</f>
        <v>2</v>
      </c>
      <c r="H58" s="32">
        <f>ROUNDUP('Гарантия (машины)'!D49/$D$4,0)*$D$10</f>
        <v>4</v>
      </c>
      <c r="I58" s="32">
        <f>ROUNDUP('Гарантия (машины)'!E49/$D$4,0)*$D$5</f>
        <v>4</v>
      </c>
      <c r="J58" s="32">
        <f>ROUNDUP('Гарантия (машины)'!E49/$D$4,0)*$D$6</f>
        <v>8</v>
      </c>
      <c r="K58" s="32">
        <f>ROUNDUP('Гарантия (машины)'!E49/$D$4,0)*$D$7</f>
        <v>4</v>
      </c>
      <c r="L58" s="32">
        <f>ROUNDUP('Гарантия (машины)'!F49/$D$4,0)*$D$8</f>
        <v>0</v>
      </c>
      <c r="M58" s="32">
        <f>ROUNDUP('Гарантия (машины)'!F49/$D$4,0)*$D$9</f>
        <v>0</v>
      </c>
      <c r="N58" s="32">
        <f>ROUNDUP('Гарантия (машины)'!F49/$D$4,0)*$D$10</f>
        <v>0</v>
      </c>
      <c r="O58" s="32">
        <f>ROUNDUP('Гарантия (машины)'!G49/$D$4,0)*$D$5</f>
        <v>2</v>
      </c>
      <c r="P58" s="32">
        <f>ROUNDUP('Гарантия (машины)'!G49/$D$4,0)*$D$6</f>
        <v>4</v>
      </c>
      <c r="Q58" s="32">
        <f>ROUNDUP('Гарантия (машины)'!G49/$D$4,0)*$D$7</f>
        <v>2</v>
      </c>
      <c r="R58" s="32">
        <f>ROUNDUP('Гарантия (машины)'!H49/$D$4,0)*$D$8</f>
        <v>1</v>
      </c>
      <c r="S58" s="32">
        <f>ROUNDUP('Гарантия (машины)'!H49/$D$4,0)*$D$9</f>
        <v>1</v>
      </c>
      <c r="T58" s="32">
        <f>ROUNDUP('Гарантия (машины)'!H49/$D$4,0)*$D$10</f>
        <v>2</v>
      </c>
      <c r="U58" s="32">
        <f>ROUNDUP('Гарантия (машины)'!I49/$D$4,0)*$D$8</f>
        <v>2</v>
      </c>
      <c r="V58" s="32">
        <f>ROUNDUP('Гарантия (машины)'!I49/$D$4,0)*$D$9</f>
        <v>2</v>
      </c>
      <c r="W58" s="32">
        <f>ROUNDUP('Гарантия (машины)'!I49/$D$4,0)*$D$10</f>
        <v>4</v>
      </c>
    </row>
    <row r="59">
      <c r="A59" s="31" t="n">
        <v>46692</v>
      </c>
      <c r="B59" s="32">
        <f>YEAR(A59)</f>
        <v>2027</v>
      </c>
      <c r="C59" s="32">
        <f>ROUNDUP('Гарантия (машины)'!C50/$D$4,0)*$D$5</f>
        <v>5</v>
      </c>
      <c r="D59" s="32">
        <f>ROUNDUP('Гарантия (машины)'!C50/$D$4,0)*$D$6</f>
        <v>10</v>
      </c>
      <c r="E59" s="32">
        <f>ROUNDUP('Гарантия (машины)'!C50/$D$4,0)*$D$7</f>
        <v>5</v>
      </c>
      <c r="F59" s="32">
        <f>ROUNDUP('Гарантия (машины)'!D50/$D$4,0)*$D$8</f>
        <v>2</v>
      </c>
      <c r="G59" s="32">
        <f>ROUNDUP('Гарантия (машины)'!D50/$D$4,0)*$D$9</f>
        <v>2</v>
      </c>
      <c r="H59" s="32">
        <f>ROUNDUP('Гарантия (машины)'!D50/$D$4,0)*$D$10</f>
        <v>4</v>
      </c>
      <c r="I59" s="32">
        <f>ROUNDUP('Гарантия (машины)'!E50/$D$4,0)*$D$5</f>
        <v>4</v>
      </c>
      <c r="J59" s="32">
        <f>ROUNDUP('Гарантия (машины)'!E50/$D$4,0)*$D$6</f>
        <v>8</v>
      </c>
      <c r="K59" s="32">
        <f>ROUNDUP('Гарантия (машины)'!E50/$D$4,0)*$D$7</f>
        <v>4</v>
      </c>
      <c r="L59" s="32">
        <f>ROUNDUP('Гарантия (машины)'!F50/$D$4,0)*$D$8</f>
        <v>0</v>
      </c>
      <c r="M59" s="32">
        <f>ROUNDUP('Гарантия (машины)'!F50/$D$4,0)*$D$9</f>
        <v>0</v>
      </c>
      <c r="N59" s="32">
        <f>ROUNDUP('Гарантия (машины)'!F50/$D$4,0)*$D$10</f>
        <v>0</v>
      </c>
      <c r="O59" s="32">
        <f>ROUNDUP('Гарантия (машины)'!G50/$D$4,0)*$D$5</f>
        <v>2</v>
      </c>
      <c r="P59" s="32">
        <f>ROUNDUP('Гарантия (машины)'!G50/$D$4,0)*$D$6</f>
        <v>4</v>
      </c>
      <c r="Q59" s="32">
        <f>ROUNDUP('Гарантия (машины)'!G50/$D$4,0)*$D$7</f>
        <v>2</v>
      </c>
      <c r="R59" s="32">
        <f>ROUNDUP('Гарантия (машины)'!H50/$D$4,0)*$D$8</f>
        <v>1</v>
      </c>
      <c r="S59" s="32">
        <f>ROUNDUP('Гарантия (машины)'!H50/$D$4,0)*$D$9</f>
        <v>1</v>
      </c>
      <c r="T59" s="32">
        <f>ROUNDUP('Гарантия (машины)'!H50/$D$4,0)*$D$10</f>
        <v>2</v>
      </c>
      <c r="U59" s="32">
        <f>ROUNDUP('Гарантия (машины)'!I50/$D$4,0)*$D$8</f>
        <v>2</v>
      </c>
      <c r="V59" s="32">
        <f>ROUNDUP('Гарантия (машины)'!I50/$D$4,0)*$D$9</f>
        <v>2</v>
      </c>
      <c r="W59" s="32">
        <f>ROUNDUP('Гарантия (машины)'!I50/$D$4,0)*$D$10</f>
        <v>4</v>
      </c>
    </row>
    <row r="60">
      <c r="A60" s="31" t="n">
        <v>46722</v>
      </c>
      <c r="B60" s="32">
        <f>YEAR(A60)</f>
        <v>2027</v>
      </c>
      <c r="C60" s="32">
        <f>ROUNDUP('Гарантия (машины)'!C51/$D$4,0)*$D$5</f>
        <v>5</v>
      </c>
      <c r="D60" s="32">
        <f>ROUNDUP('Гарантия (машины)'!C51/$D$4,0)*$D$6</f>
        <v>10</v>
      </c>
      <c r="E60" s="32">
        <f>ROUNDUP('Гарантия (машины)'!C51/$D$4,0)*$D$7</f>
        <v>5</v>
      </c>
      <c r="F60" s="32">
        <f>ROUNDUP('Гарантия (машины)'!D51/$D$4,0)*$D$8</f>
        <v>2</v>
      </c>
      <c r="G60" s="32">
        <f>ROUNDUP('Гарантия (машины)'!D51/$D$4,0)*$D$9</f>
        <v>2</v>
      </c>
      <c r="H60" s="32">
        <f>ROUNDUP('Гарантия (машины)'!D51/$D$4,0)*$D$10</f>
        <v>4</v>
      </c>
      <c r="I60" s="32">
        <f>ROUNDUP('Гарантия (машины)'!E51/$D$4,0)*$D$5</f>
        <v>5</v>
      </c>
      <c r="J60" s="32">
        <f>ROUNDUP('Гарантия (машины)'!E51/$D$4,0)*$D$6</f>
        <v>10</v>
      </c>
      <c r="K60" s="32">
        <f>ROUNDUP('Гарантия (машины)'!E51/$D$4,0)*$D$7</f>
        <v>5</v>
      </c>
      <c r="L60" s="32">
        <f>ROUNDUP('Гарантия (машины)'!F51/$D$4,0)*$D$8</f>
        <v>0</v>
      </c>
      <c r="M60" s="32">
        <f>ROUNDUP('Гарантия (машины)'!F51/$D$4,0)*$D$9</f>
        <v>0</v>
      </c>
      <c r="N60" s="32">
        <f>ROUNDUP('Гарантия (машины)'!F51/$D$4,0)*$D$10</f>
        <v>0</v>
      </c>
      <c r="O60" s="32">
        <f>ROUNDUP('Гарантия (машины)'!G51/$D$4,0)*$D$5</f>
        <v>2</v>
      </c>
      <c r="P60" s="32">
        <f>ROUNDUP('Гарантия (машины)'!G51/$D$4,0)*$D$6</f>
        <v>4</v>
      </c>
      <c r="Q60" s="32">
        <f>ROUNDUP('Гарантия (машины)'!G51/$D$4,0)*$D$7</f>
        <v>2</v>
      </c>
      <c r="R60" s="32">
        <f>ROUNDUP('Гарантия (машины)'!H51/$D$4,0)*$D$8</f>
        <v>1</v>
      </c>
      <c r="S60" s="32">
        <f>ROUNDUP('Гарантия (машины)'!H51/$D$4,0)*$D$9</f>
        <v>1</v>
      </c>
      <c r="T60" s="32">
        <f>ROUNDUP('Гарантия (машины)'!H51/$D$4,0)*$D$10</f>
        <v>2</v>
      </c>
      <c r="U60" s="32">
        <f>ROUNDUP('Гарантия (машины)'!I51/$D$4,0)*$D$8</f>
        <v>2</v>
      </c>
      <c r="V60" s="32">
        <f>ROUNDUP('Гарантия (машины)'!I51/$D$4,0)*$D$9</f>
        <v>2</v>
      </c>
      <c r="W60" s="32">
        <f>ROUNDUP('Гарантия (машины)'!I51/$D$4,0)*$D$10</f>
        <v>4</v>
      </c>
    </row>
    <row r="61">
      <c r="A61" s="31" t="n">
        <v>46753</v>
      </c>
      <c r="B61" s="32">
        <f>YEAR(A61)</f>
        <v>2028</v>
      </c>
      <c r="C61" s="32">
        <f>ROUNDUP('Гарантия (машины)'!C52/$D$4,0)*$D$5</f>
        <v>5</v>
      </c>
      <c r="D61" s="32">
        <f>ROUNDUP('Гарантия (машины)'!C52/$D$4,0)*$D$6</f>
        <v>10</v>
      </c>
      <c r="E61" s="32">
        <f>ROUNDUP('Гарантия (машины)'!C52/$D$4,0)*$D$7</f>
        <v>5</v>
      </c>
      <c r="F61" s="32">
        <f>ROUNDUP('Гарантия (машины)'!D52/$D$4,0)*$D$8</f>
        <v>2</v>
      </c>
      <c r="G61" s="32">
        <f>ROUNDUP('Гарантия (машины)'!D52/$D$4,0)*$D$9</f>
        <v>2</v>
      </c>
      <c r="H61" s="32">
        <f>ROUNDUP('Гарантия (машины)'!D52/$D$4,0)*$D$10</f>
        <v>4</v>
      </c>
      <c r="I61" s="32">
        <f>ROUNDUP('Гарантия (машины)'!E52/$D$4,0)*$D$5</f>
        <v>5</v>
      </c>
      <c r="J61" s="32">
        <f>ROUNDUP('Гарантия (машины)'!E52/$D$4,0)*$D$6</f>
        <v>10</v>
      </c>
      <c r="K61" s="32">
        <f>ROUNDUP('Гарантия (машины)'!E52/$D$4,0)*$D$7</f>
        <v>5</v>
      </c>
      <c r="L61" s="32">
        <f>ROUNDUP('Гарантия (машины)'!F52/$D$4,0)*$D$8</f>
        <v>0</v>
      </c>
      <c r="M61" s="32">
        <f>ROUNDUP('Гарантия (машины)'!F52/$D$4,0)*$D$9</f>
        <v>0</v>
      </c>
      <c r="N61" s="32">
        <f>ROUNDUP('Гарантия (машины)'!F52/$D$4,0)*$D$10</f>
        <v>0</v>
      </c>
      <c r="O61" s="32">
        <f>ROUNDUP('Гарантия (машины)'!G52/$D$4,0)*$D$5</f>
        <v>1</v>
      </c>
      <c r="P61" s="32">
        <f>ROUNDUP('Гарантия (машины)'!G52/$D$4,0)*$D$6</f>
        <v>2</v>
      </c>
      <c r="Q61" s="32">
        <f>ROUNDUP('Гарантия (машины)'!G52/$D$4,0)*$D$7</f>
        <v>1</v>
      </c>
      <c r="R61" s="32">
        <f>ROUNDUP('Гарантия (машины)'!H52/$D$4,0)*$D$8</f>
        <v>1</v>
      </c>
      <c r="S61" s="32">
        <f>ROUNDUP('Гарантия (машины)'!H52/$D$4,0)*$D$9</f>
        <v>1</v>
      </c>
      <c r="T61" s="32">
        <f>ROUNDUP('Гарантия (машины)'!H52/$D$4,0)*$D$10</f>
        <v>2</v>
      </c>
      <c r="U61" s="32">
        <f>ROUNDUP('Гарантия (машины)'!I52/$D$4,0)*$D$8</f>
        <v>2</v>
      </c>
      <c r="V61" s="32">
        <f>ROUNDUP('Гарантия (машины)'!I52/$D$4,0)*$D$9</f>
        <v>2</v>
      </c>
      <c r="W61" s="32">
        <f>ROUNDUP('Гарантия (машины)'!I52/$D$4,0)*$D$10</f>
        <v>4</v>
      </c>
    </row>
    <row r="62">
      <c r="A62" s="31" t="n">
        <v>46784</v>
      </c>
      <c r="B62" s="32">
        <f>YEAR(A62)</f>
        <v>2028</v>
      </c>
      <c r="C62" s="32">
        <f>ROUNDUP('Гарантия (машины)'!C53/$D$4,0)*$D$5</f>
        <v>5</v>
      </c>
      <c r="D62" s="32">
        <f>ROUNDUP('Гарантия (машины)'!C53/$D$4,0)*$D$6</f>
        <v>10</v>
      </c>
      <c r="E62" s="32">
        <f>ROUNDUP('Гарантия (машины)'!C53/$D$4,0)*$D$7</f>
        <v>5</v>
      </c>
      <c r="F62" s="32">
        <f>ROUNDUP('Гарантия (машины)'!D53/$D$4,0)*$D$8</f>
        <v>2</v>
      </c>
      <c r="G62" s="32">
        <f>ROUNDUP('Гарантия (машины)'!D53/$D$4,0)*$D$9</f>
        <v>2</v>
      </c>
      <c r="H62" s="32">
        <f>ROUNDUP('Гарантия (машины)'!D53/$D$4,0)*$D$10</f>
        <v>4</v>
      </c>
      <c r="I62" s="32">
        <f>ROUNDUP('Гарантия (машины)'!E53/$D$4,0)*$D$5</f>
        <v>5</v>
      </c>
      <c r="J62" s="32">
        <f>ROUNDUP('Гарантия (машины)'!E53/$D$4,0)*$D$6</f>
        <v>10</v>
      </c>
      <c r="K62" s="32">
        <f>ROUNDUP('Гарантия (машины)'!E53/$D$4,0)*$D$7</f>
        <v>5</v>
      </c>
      <c r="L62" s="32">
        <f>ROUNDUP('Гарантия (машины)'!F53/$D$4,0)*$D$8</f>
        <v>0</v>
      </c>
      <c r="M62" s="32">
        <f>ROUNDUP('Гарантия (машины)'!F53/$D$4,0)*$D$9</f>
        <v>0</v>
      </c>
      <c r="N62" s="32">
        <f>ROUNDUP('Гарантия (машины)'!F53/$D$4,0)*$D$10</f>
        <v>0</v>
      </c>
      <c r="O62" s="32">
        <f>ROUNDUP('Гарантия (машины)'!G53/$D$4,0)*$D$5</f>
        <v>1</v>
      </c>
      <c r="P62" s="32">
        <f>ROUNDUP('Гарантия (машины)'!G53/$D$4,0)*$D$6</f>
        <v>2</v>
      </c>
      <c r="Q62" s="32">
        <f>ROUNDUP('Гарантия (машины)'!G53/$D$4,0)*$D$7</f>
        <v>1</v>
      </c>
      <c r="R62" s="32">
        <f>ROUNDUP('Гарантия (машины)'!H53/$D$4,0)*$D$8</f>
        <v>1</v>
      </c>
      <c r="S62" s="32">
        <f>ROUNDUP('Гарантия (машины)'!H53/$D$4,0)*$D$9</f>
        <v>1</v>
      </c>
      <c r="T62" s="32">
        <f>ROUNDUP('Гарантия (машины)'!H53/$D$4,0)*$D$10</f>
        <v>2</v>
      </c>
      <c r="U62" s="32">
        <f>ROUNDUP('Гарантия (машины)'!I53/$D$4,0)*$D$8</f>
        <v>2</v>
      </c>
      <c r="V62" s="32">
        <f>ROUNDUP('Гарантия (машины)'!I53/$D$4,0)*$D$9</f>
        <v>2</v>
      </c>
      <c r="W62" s="32">
        <f>ROUNDUP('Гарантия (машины)'!I53/$D$4,0)*$D$10</f>
        <v>4</v>
      </c>
    </row>
    <row r="63">
      <c r="A63" s="31" t="n">
        <v>46813</v>
      </c>
      <c r="B63" s="32">
        <f>YEAR(A63)</f>
        <v>2028</v>
      </c>
      <c r="C63" s="32">
        <f>ROUNDUP('Гарантия (машины)'!C54/$D$4,0)*$D$5</f>
        <v>5</v>
      </c>
      <c r="D63" s="32">
        <f>ROUNDUP('Гарантия (машины)'!C54/$D$4,0)*$D$6</f>
        <v>10</v>
      </c>
      <c r="E63" s="32">
        <f>ROUNDUP('Гарантия (машины)'!C54/$D$4,0)*$D$7</f>
        <v>5</v>
      </c>
      <c r="F63" s="32">
        <f>ROUNDUP('Гарантия (машины)'!D54/$D$4,0)*$D$8</f>
        <v>2</v>
      </c>
      <c r="G63" s="32">
        <f>ROUNDUP('Гарантия (машины)'!D54/$D$4,0)*$D$9</f>
        <v>2</v>
      </c>
      <c r="H63" s="32">
        <f>ROUNDUP('Гарантия (машины)'!D54/$D$4,0)*$D$10</f>
        <v>4</v>
      </c>
      <c r="I63" s="32">
        <f>ROUNDUP('Гарантия (машины)'!E54/$D$4,0)*$D$5</f>
        <v>6</v>
      </c>
      <c r="J63" s="32">
        <f>ROUNDUP('Гарантия (машины)'!E54/$D$4,0)*$D$6</f>
        <v>12</v>
      </c>
      <c r="K63" s="32">
        <f>ROUNDUP('Гарантия (машины)'!E54/$D$4,0)*$D$7</f>
        <v>6</v>
      </c>
      <c r="L63" s="32">
        <f>ROUNDUP('Гарантия (машины)'!F54/$D$4,0)*$D$8</f>
        <v>0</v>
      </c>
      <c r="M63" s="32">
        <f>ROUNDUP('Гарантия (машины)'!F54/$D$4,0)*$D$9</f>
        <v>0</v>
      </c>
      <c r="N63" s="32">
        <f>ROUNDUP('Гарантия (машины)'!F54/$D$4,0)*$D$10</f>
        <v>0</v>
      </c>
      <c r="O63" s="32">
        <f>ROUNDUP('Гарантия (машины)'!G54/$D$4,0)*$D$5</f>
        <v>1</v>
      </c>
      <c r="P63" s="32">
        <f>ROUNDUP('Гарантия (машины)'!G54/$D$4,0)*$D$6</f>
        <v>2</v>
      </c>
      <c r="Q63" s="32">
        <f>ROUNDUP('Гарантия (машины)'!G54/$D$4,0)*$D$7</f>
        <v>1</v>
      </c>
      <c r="R63" s="32">
        <f>ROUNDUP('Гарантия (машины)'!H54/$D$4,0)*$D$8</f>
        <v>1</v>
      </c>
      <c r="S63" s="32">
        <f>ROUNDUP('Гарантия (машины)'!H54/$D$4,0)*$D$9</f>
        <v>1</v>
      </c>
      <c r="T63" s="32">
        <f>ROUNDUP('Гарантия (машины)'!H54/$D$4,0)*$D$10</f>
        <v>2</v>
      </c>
      <c r="U63" s="32">
        <f>ROUNDUP('Гарантия (машины)'!I54/$D$4,0)*$D$8</f>
        <v>2</v>
      </c>
      <c r="V63" s="32">
        <f>ROUNDUP('Гарантия (машины)'!I54/$D$4,0)*$D$9</f>
        <v>2</v>
      </c>
      <c r="W63" s="32">
        <f>ROUNDUP('Гарантия (машины)'!I54/$D$4,0)*$D$10</f>
        <v>4</v>
      </c>
    </row>
    <row r="64">
      <c r="A64" s="31" t="n">
        <v>46844</v>
      </c>
      <c r="B64" s="32">
        <f>YEAR(A64)</f>
        <v>2028</v>
      </c>
      <c r="C64" s="32">
        <f>ROUNDUP('Гарантия (машины)'!C55/$D$4,0)*$D$5</f>
        <v>4</v>
      </c>
      <c r="D64" s="32">
        <f>ROUNDUP('Гарантия (машины)'!C55/$D$4,0)*$D$6</f>
        <v>8</v>
      </c>
      <c r="E64" s="32">
        <f>ROUNDUP('Гарантия (машины)'!C55/$D$4,0)*$D$7</f>
        <v>4</v>
      </c>
      <c r="F64" s="32">
        <f>ROUNDUP('Гарантия (машины)'!D55/$D$4,0)*$D$8</f>
        <v>1</v>
      </c>
      <c r="G64" s="32">
        <f>ROUNDUP('Гарантия (машины)'!D55/$D$4,0)*$D$9</f>
        <v>1</v>
      </c>
      <c r="H64" s="32">
        <f>ROUNDUP('Гарантия (машины)'!D55/$D$4,0)*$D$10</f>
        <v>2</v>
      </c>
      <c r="I64" s="32">
        <f>ROUNDUP('Гарантия (машины)'!E55/$D$4,0)*$D$5</f>
        <v>6</v>
      </c>
      <c r="J64" s="32">
        <f>ROUNDUP('Гарантия (машины)'!E55/$D$4,0)*$D$6</f>
        <v>12</v>
      </c>
      <c r="K64" s="32">
        <f>ROUNDUP('Гарантия (машины)'!E55/$D$4,0)*$D$7</f>
        <v>6</v>
      </c>
      <c r="L64" s="32">
        <f>ROUNDUP('Гарантия (машины)'!F55/$D$4,0)*$D$8</f>
        <v>0</v>
      </c>
      <c r="M64" s="32">
        <f>ROUNDUP('Гарантия (машины)'!F55/$D$4,0)*$D$9</f>
        <v>0</v>
      </c>
      <c r="N64" s="32">
        <f>ROUNDUP('Гарантия (машины)'!F55/$D$4,0)*$D$10</f>
        <v>0</v>
      </c>
      <c r="O64" s="32">
        <f>ROUNDUP('Гарантия (машины)'!G55/$D$4,0)*$D$5</f>
        <v>1</v>
      </c>
      <c r="P64" s="32">
        <f>ROUNDUP('Гарантия (машины)'!G55/$D$4,0)*$D$6</f>
        <v>2</v>
      </c>
      <c r="Q64" s="32">
        <f>ROUNDUP('Гарантия (машины)'!G55/$D$4,0)*$D$7</f>
        <v>1</v>
      </c>
      <c r="R64" s="32">
        <f>ROUNDUP('Гарантия (машины)'!H55/$D$4,0)*$D$8</f>
        <v>1</v>
      </c>
      <c r="S64" s="32">
        <f>ROUNDUP('Гарантия (машины)'!H55/$D$4,0)*$D$9</f>
        <v>1</v>
      </c>
      <c r="T64" s="32">
        <f>ROUNDUP('Гарантия (машины)'!H55/$D$4,0)*$D$10</f>
        <v>2</v>
      </c>
      <c r="U64" s="32">
        <f>ROUNDUP('Гарантия (машины)'!I55/$D$4,0)*$D$8</f>
        <v>2</v>
      </c>
      <c r="V64" s="32">
        <f>ROUNDUP('Гарантия (машины)'!I55/$D$4,0)*$D$9</f>
        <v>2</v>
      </c>
      <c r="W64" s="32">
        <f>ROUNDUP('Гарантия (машины)'!I55/$D$4,0)*$D$10</f>
        <v>4</v>
      </c>
    </row>
    <row r="65">
      <c r="A65" s="31" t="n">
        <v>46874</v>
      </c>
      <c r="B65" s="32">
        <f>YEAR(A65)</f>
        <v>2028</v>
      </c>
      <c r="C65" s="32">
        <f>ROUNDUP('Гарантия (машины)'!C56/$D$4,0)*$D$5</f>
        <v>3</v>
      </c>
      <c r="D65" s="32">
        <f>ROUNDUP('Гарантия (машины)'!C56/$D$4,0)*$D$6</f>
        <v>6</v>
      </c>
      <c r="E65" s="32">
        <f>ROUNDUP('Гарантия (машины)'!C56/$D$4,0)*$D$7</f>
        <v>3</v>
      </c>
      <c r="F65" s="32">
        <f>ROUNDUP('Гарантия (машины)'!D56/$D$4,0)*$D$8</f>
        <v>1</v>
      </c>
      <c r="G65" s="32">
        <f>ROUNDUP('Гарантия (машины)'!D56/$D$4,0)*$D$9</f>
        <v>1</v>
      </c>
      <c r="H65" s="32">
        <f>ROUNDUP('Гарантия (машины)'!D56/$D$4,0)*$D$10</f>
        <v>2</v>
      </c>
      <c r="I65" s="32">
        <f>ROUNDUP('Гарантия (машины)'!E56/$D$4,0)*$D$5</f>
        <v>7</v>
      </c>
      <c r="J65" s="32">
        <f>ROUNDUP('Гарантия (машины)'!E56/$D$4,0)*$D$6</f>
        <v>14</v>
      </c>
      <c r="K65" s="32">
        <f>ROUNDUP('Гарантия (машины)'!E56/$D$4,0)*$D$7</f>
        <v>7</v>
      </c>
      <c r="L65" s="32">
        <f>ROUNDUP('Гарантия (машины)'!F56/$D$4,0)*$D$8</f>
        <v>0</v>
      </c>
      <c r="M65" s="32">
        <f>ROUNDUP('Гарантия (машины)'!F56/$D$4,0)*$D$9</f>
        <v>0</v>
      </c>
      <c r="N65" s="32">
        <f>ROUNDUP('Гарантия (машины)'!F56/$D$4,0)*$D$10</f>
        <v>0</v>
      </c>
      <c r="O65" s="32">
        <f>ROUNDUP('Гарантия (машины)'!G56/$D$4,0)*$D$5</f>
        <v>1</v>
      </c>
      <c r="P65" s="32">
        <f>ROUNDUP('Гарантия (машины)'!G56/$D$4,0)*$D$6</f>
        <v>2</v>
      </c>
      <c r="Q65" s="32">
        <f>ROUNDUP('Гарантия (машины)'!G56/$D$4,0)*$D$7</f>
        <v>1</v>
      </c>
      <c r="R65" s="32">
        <f>ROUNDUP('Гарантия (машины)'!H56/$D$4,0)*$D$8</f>
        <v>1</v>
      </c>
      <c r="S65" s="32">
        <f>ROUNDUP('Гарантия (машины)'!H56/$D$4,0)*$D$9</f>
        <v>1</v>
      </c>
      <c r="T65" s="32">
        <f>ROUNDUP('Гарантия (машины)'!H56/$D$4,0)*$D$10</f>
        <v>2</v>
      </c>
      <c r="U65" s="32">
        <f>ROUNDUP('Гарантия (машины)'!I56/$D$4,0)*$D$8</f>
        <v>2</v>
      </c>
      <c r="V65" s="32">
        <f>ROUNDUP('Гарантия (машины)'!I56/$D$4,0)*$D$9</f>
        <v>2</v>
      </c>
      <c r="W65" s="32">
        <f>ROUNDUP('Гарантия (машины)'!I56/$D$4,0)*$D$10</f>
        <v>4</v>
      </c>
    </row>
    <row r="66">
      <c r="A66" s="31" t="n">
        <v>46905</v>
      </c>
      <c r="B66" s="32">
        <f>YEAR(A66)</f>
        <v>2028</v>
      </c>
      <c r="C66" s="32">
        <f>ROUNDUP('Гарантия (машины)'!C57/$D$4,0)*$D$5</f>
        <v>3</v>
      </c>
      <c r="D66" s="32">
        <f>ROUNDUP('Гарантия (машины)'!C57/$D$4,0)*$D$6</f>
        <v>6</v>
      </c>
      <c r="E66" s="32">
        <f>ROUNDUP('Гарантия (машины)'!C57/$D$4,0)*$D$7</f>
        <v>3</v>
      </c>
      <c r="F66" s="32">
        <f>ROUNDUP('Гарантия (машины)'!D57/$D$4,0)*$D$8</f>
        <v>1</v>
      </c>
      <c r="G66" s="32">
        <f>ROUNDUP('Гарантия (машины)'!D57/$D$4,0)*$D$9</f>
        <v>1</v>
      </c>
      <c r="H66" s="32">
        <f>ROUNDUP('Гарантия (машины)'!D57/$D$4,0)*$D$10</f>
        <v>2</v>
      </c>
      <c r="I66" s="32">
        <f>ROUNDUP('Гарантия (машины)'!E57/$D$4,0)*$D$5</f>
        <v>7</v>
      </c>
      <c r="J66" s="32">
        <f>ROUNDUP('Гарантия (машины)'!E57/$D$4,0)*$D$6</f>
        <v>14</v>
      </c>
      <c r="K66" s="32">
        <f>ROUNDUP('Гарантия (машины)'!E57/$D$4,0)*$D$7</f>
        <v>7</v>
      </c>
      <c r="L66" s="32">
        <f>ROUNDUP('Гарантия (машины)'!F57/$D$4,0)*$D$8</f>
        <v>0</v>
      </c>
      <c r="M66" s="32">
        <f>ROUNDUP('Гарантия (машины)'!F57/$D$4,0)*$D$9</f>
        <v>0</v>
      </c>
      <c r="N66" s="32">
        <f>ROUNDUP('Гарантия (машины)'!F57/$D$4,0)*$D$10</f>
        <v>0</v>
      </c>
      <c r="O66" s="32">
        <f>ROUNDUP('Гарантия (машины)'!G57/$D$4,0)*$D$5</f>
        <v>1</v>
      </c>
      <c r="P66" s="32">
        <f>ROUNDUP('Гарантия (машины)'!G57/$D$4,0)*$D$6</f>
        <v>2</v>
      </c>
      <c r="Q66" s="32">
        <f>ROUNDUP('Гарантия (машины)'!G57/$D$4,0)*$D$7</f>
        <v>1</v>
      </c>
      <c r="R66" s="32">
        <f>ROUNDUP('Гарантия (машины)'!H57/$D$4,0)*$D$8</f>
        <v>1</v>
      </c>
      <c r="S66" s="32">
        <f>ROUNDUP('Гарантия (машины)'!H57/$D$4,0)*$D$9</f>
        <v>1</v>
      </c>
      <c r="T66" s="32">
        <f>ROUNDUP('Гарантия (машины)'!H57/$D$4,0)*$D$10</f>
        <v>2</v>
      </c>
      <c r="U66" s="32">
        <f>ROUNDUP('Гарантия (машины)'!I57/$D$4,0)*$D$8</f>
        <v>2</v>
      </c>
      <c r="V66" s="32">
        <f>ROUNDUP('Гарантия (машины)'!I57/$D$4,0)*$D$9</f>
        <v>2</v>
      </c>
      <c r="W66" s="32">
        <f>ROUNDUP('Гарантия (машины)'!I57/$D$4,0)*$D$10</f>
        <v>4</v>
      </c>
    </row>
    <row r="67">
      <c r="A67" s="31" t="n">
        <v>46935</v>
      </c>
      <c r="B67" s="32">
        <f>YEAR(A67)</f>
        <v>2028</v>
      </c>
      <c r="C67" s="32">
        <f>ROUNDUP('Гарантия (машины)'!C58/$D$4,0)*$D$5</f>
        <v>2</v>
      </c>
      <c r="D67" s="32">
        <f>ROUNDUP('Гарантия (машины)'!C58/$D$4,0)*$D$6</f>
        <v>4</v>
      </c>
      <c r="E67" s="32">
        <f>ROUNDUP('Гарантия (машины)'!C58/$D$4,0)*$D$7</f>
        <v>2</v>
      </c>
      <c r="F67" s="32">
        <f>ROUNDUP('Гарантия (машины)'!D58/$D$4,0)*$D$8</f>
        <v>1</v>
      </c>
      <c r="G67" s="32">
        <f>ROUNDUP('Гарантия (машины)'!D58/$D$4,0)*$D$9</f>
        <v>1</v>
      </c>
      <c r="H67" s="32">
        <f>ROUNDUP('Гарантия (машины)'!D58/$D$4,0)*$D$10</f>
        <v>2</v>
      </c>
      <c r="I67" s="32">
        <f>ROUNDUP('Гарантия (машины)'!E58/$D$4,0)*$D$5</f>
        <v>7</v>
      </c>
      <c r="J67" s="32">
        <f>ROUNDUP('Гарантия (машины)'!E58/$D$4,0)*$D$6</f>
        <v>14</v>
      </c>
      <c r="K67" s="32">
        <f>ROUNDUP('Гарантия (машины)'!E58/$D$4,0)*$D$7</f>
        <v>7</v>
      </c>
      <c r="L67" s="32">
        <f>ROUNDUP('Гарантия (машины)'!F58/$D$4,0)*$D$8</f>
        <v>0</v>
      </c>
      <c r="M67" s="32">
        <f>ROUNDUP('Гарантия (машины)'!F58/$D$4,0)*$D$9</f>
        <v>0</v>
      </c>
      <c r="N67" s="32">
        <f>ROUNDUP('Гарантия (машины)'!F58/$D$4,0)*$D$10</f>
        <v>0</v>
      </c>
      <c r="O67" s="32">
        <f>ROUNDUP('Гарантия (машины)'!G58/$D$4,0)*$D$5</f>
        <v>1</v>
      </c>
      <c r="P67" s="32">
        <f>ROUNDUP('Гарантия (машины)'!G58/$D$4,0)*$D$6</f>
        <v>2</v>
      </c>
      <c r="Q67" s="32">
        <f>ROUNDUP('Гарантия (машины)'!G58/$D$4,0)*$D$7</f>
        <v>1</v>
      </c>
      <c r="R67" s="32">
        <f>ROUNDUP('Гарантия (машины)'!H58/$D$4,0)*$D$8</f>
        <v>1</v>
      </c>
      <c r="S67" s="32">
        <f>ROUNDUP('Гарантия (машины)'!H58/$D$4,0)*$D$9</f>
        <v>1</v>
      </c>
      <c r="T67" s="32">
        <f>ROUNDUP('Гарантия (машины)'!H58/$D$4,0)*$D$10</f>
        <v>2</v>
      </c>
      <c r="U67" s="32">
        <f>ROUNDUP('Гарантия (машины)'!I58/$D$4,0)*$D$8</f>
        <v>2</v>
      </c>
      <c r="V67" s="32">
        <f>ROUNDUP('Гарантия (машины)'!I58/$D$4,0)*$D$9</f>
        <v>2</v>
      </c>
      <c r="W67" s="32">
        <f>ROUNDUP('Гарантия (машины)'!I58/$D$4,0)*$D$10</f>
        <v>4</v>
      </c>
    </row>
    <row r="68">
      <c r="A68" s="31" t="n">
        <v>46966</v>
      </c>
      <c r="B68" s="32">
        <f>YEAR(A68)</f>
        <v>2028</v>
      </c>
      <c r="C68" s="32">
        <f>ROUNDUP('Гарантия (машины)'!C59/$D$4,0)*$D$5</f>
        <v>2</v>
      </c>
      <c r="D68" s="32">
        <f>ROUNDUP('Гарантия (машины)'!C59/$D$4,0)*$D$6</f>
        <v>4</v>
      </c>
      <c r="E68" s="32">
        <f>ROUNDUP('Гарантия (машины)'!C59/$D$4,0)*$D$7</f>
        <v>2</v>
      </c>
      <c r="F68" s="32">
        <f>ROUNDUP('Гарантия (машины)'!D59/$D$4,0)*$D$8</f>
        <v>1</v>
      </c>
      <c r="G68" s="32">
        <f>ROUNDUP('Гарантия (машины)'!D59/$D$4,0)*$D$9</f>
        <v>1</v>
      </c>
      <c r="H68" s="32">
        <f>ROUNDUP('Гарантия (машины)'!D59/$D$4,0)*$D$10</f>
        <v>2</v>
      </c>
      <c r="I68" s="32">
        <f>ROUNDUP('Гарантия (машины)'!E59/$D$4,0)*$D$5</f>
        <v>7</v>
      </c>
      <c r="J68" s="32">
        <f>ROUNDUP('Гарантия (машины)'!E59/$D$4,0)*$D$6</f>
        <v>14</v>
      </c>
      <c r="K68" s="32">
        <f>ROUNDUP('Гарантия (машины)'!E59/$D$4,0)*$D$7</f>
        <v>7</v>
      </c>
      <c r="L68" s="32">
        <f>ROUNDUP('Гарантия (машины)'!F59/$D$4,0)*$D$8</f>
        <v>0</v>
      </c>
      <c r="M68" s="32">
        <f>ROUNDUP('Гарантия (машины)'!F59/$D$4,0)*$D$9</f>
        <v>0</v>
      </c>
      <c r="N68" s="32">
        <f>ROUNDUP('Гарантия (машины)'!F59/$D$4,0)*$D$10</f>
        <v>0</v>
      </c>
      <c r="O68" s="32">
        <f>ROUNDUP('Гарантия (машины)'!G59/$D$4,0)*$D$5</f>
        <v>1</v>
      </c>
      <c r="P68" s="32">
        <f>ROUNDUP('Гарантия (машины)'!G59/$D$4,0)*$D$6</f>
        <v>2</v>
      </c>
      <c r="Q68" s="32">
        <f>ROUNDUP('Гарантия (машины)'!G59/$D$4,0)*$D$7</f>
        <v>1</v>
      </c>
      <c r="R68" s="32">
        <f>ROUNDUP('Гарантия (машины)'!H59/$D$4,0)*$D$8</f>
        <v>1</v>
      </c>
      <c r="S68" s="32">
        <f>ROUNDUP('Гарантия (машины)'!H59/$D$4,0)*$D$9</f>
        <v>1</v>
      </c>
      <c r="T68" s="32">
        <f>ROUNDUP('Гарантия (машины)'!H59/$D$4,0)*$D$10</f>
        <v>2</v>
      </c>
      <c r="U68" s="32">
        <f>ROUNDUP('Гарантия (машины)'!I59/$D$4,0)*$D$8</f>
        <v>2</v>
      </c>
      <c r="V68" s="32">
        <f>ROUNDUP('Гарантия (машины)'!I59/$D$4,0)*$D$9</f>
        <v>2</v>
      </c>
      <c r="W68" s="32">
        <f>ROUNDUP('Гарантия (машины)'!I59/$D$4,0)*$D$10</f>
        <v>4</v>
      </c>
    </row>
    <row r="69">
      <c r="A69" s="31" t="n">
        <v>46997</v>
      </c>
      <c r="B69" s="32">
        <f>YEAR(A69)</f>
        <v>2028</v>
      </c>
      <c r="C69" s="32">
        <f>ROUNDUP('Гарантия (машины)'!C60/$D$4,0)*$D$5</f>
        <v>2</v>
      </c>
      <c r="D69" s="32">
        <f>ROUNDUP('Гарантия (машины)'!C60/$D$4,0)*$D$6</f>
        <v>4</v>
      </c>
      <c r="E69" s="32">
        <f>ROUNDUP('Гарантия (машины)'!C60/$D$4,0)*$D$7</f>
        <v>2</v>
      </c>
      <c r="F69" s="32">
        <f>ROUNDUP('Гарантия (машины)'!D60/$D$4,0)*$D$8</f>
        <v>1</v>
      </c>
      <c r="G69" s="32">
        <f>ROUNDUP('Гарантия (машины)'!D60/$D$4,0)*$D$9</f>
        <v>1</v>
      </c>
      <c r="H69" s="32">
        <f>ROUNDUP('Гарантия (машины)'!D60/$D$4,0)*$D$10</f>
        <v>2</v>
      </c>
      <c r="I69" s="32">
        <f>ROUNDUP('Гарантия (машины)'!E60/$D$4,0)*$D$5</f>
        <v>7</v>
      </c>
      <c r="J69" s="32">
        <f>ROUNDUP('Гарантия (машины)'!E60/$D$4,0)*$D$6</f>
        <v>14</v>
      </c>
      <c r="K69" s="32">
        <f>ROUNDUP('Гарантия (машины)'!E60/$D$4,0)*$D$7</f>
        <v>7</v>
      </c>
      <c r="L69" s="32">
        <f>ROUNDUP('Гарантия (машины)'!F60/$D$4,0)*$D$8</f>
        <v>0</v>
      </c>
      <c r="M69" s="32">
        <f>ROUNDUP('Гарантия (машины)'!F60/$D$4,0)*$D$9</f>
        <v>0</v>
      </c>
      <c r="N69" s="32">
        <f>ROUNDUP('Гарантия (машины)'!F60/$D$4,0)*$D$10</f>
        <v>0</v>
      </c>
      <c r="O69" s="32">
        <f>ROUNDUP('Гарантия (машины)'!G60/$D$4,0)*$D$5</f>
        <v>1</v>
      </c>
      <c r="P69" s="32">
        <f>ROUNDUP('Гарантия (машины)'!G60/$D$4,0)*$D$6</f>
        <v>2</v>
      </c>
      <c r="Q69" s="32">
        <f>ROUNDUP('Гарантия (машины)'!G60/$D$4,0)*$D$7</f>
        <v>1</v>
      </c>
      <c r="R69" s="32">
        <f>ROUNDUP('Гарантия (машины)'!H60/$D$4,0)*$D$8</f>
        <v>1</v>
      </c>
      <c r="S69" s="32">
        <f>ROUNDUP('Гарантия (машины)'!H60/$D$4,0)*$D$9</f>
        <v>1</v>
      </c>
      <c r="T69" s="32">
        <f>ROUNDUP('Гарантия (машины)'!H60/$D$4,0)*$D$10</f>
        <v>2</v>
      </c>
      <c r="U69" s="32">
        <f>ROUNDUP('Гарантия (машины)'!I60/$D$4,0)*$D$8</f>
        <v>2</v>
      </c>
      <c r="V69" s="32">
        <f>ROUNDUP('Гарантия (машины)'!I60/$D$4,0)*$D$9</f>
        <v>2</v>
      </c>
      <c r="W69" s="32">
        <f>ROUNDUP('Гарантия (машины)'!I60/$D$4,0)*$D$10</f>
        <v>4</v>
      </c>
    </row>
    <row r="70">
      <c r="A70" s="31" t="n">
        <v>47027</v>
      </c>
      <c r="B70" s="32">
        <f>YEAR(A70)</f>
        <v>2028</v>
      </c>
      <c r="C70" s="32">
        <f>ROUNDUP('Гарантия (машины)'!C61/$D$4,0)*$D$5</f>
        <v>2</v>
      </c>
      <c r="D70" s="32">
        <f>ROUNDUP('Гарантия (машины)'!C61/$D$4,0)*$D$6</f>
        <v>4</v>
      </c>
      <c r="E70" s="32">
        <f>ROUNDUP('Гарантия (машины)'!C61/$D$4,0)*$D$7</f>
        <v>2</v>
      </c>
      <c r="F70" s="32">
        <f>ROUNDUP('Гарантия (машины)'!D61/$D$4,0)*$D$8</f>
        <v>1</v>
      </c>
      <c r="G70" s="32">
        <f>ROUNDUP('Гарантия (машины)'!D61/$D$4,0)*$D$9</f>
        <v>1</v>
      </c>
      <c r="H70" s="32">
        <f>ROUNDUP('Гарантия (машины)'!D61/$D$4,0)*$D$10</f>
        <v>2</v>
      </c>
      <c r="I70" s="32">
        <f>ROUNDUP('Гарантия (машины)'!E61/$D$4,0)*$D$5</f>
        <v>8</v>
      </c>
      <c r="J70" s="32">
        <f>ROUNDUP('Гарантия (машины)'!E61/$D$4,0)*$D$6</f>
        <v>16</v>
      </c>
      <c r="K70" s="32">
        <f>ROUNDUP('Гарантия (машины)'!E61/$D$4,0)*$D$7</f>
        <v>8</v>
      </c>
      <c r="L70" s="32">
        <f>ROUNDUP('Гарантия (машины)'!F61/$D$4,0)*$D$8</f>
        <v>0</v>
      </c>
      <c r="M70" s="32">
        <f>ROUNDUP('Гарантия (машины)'!F61/$D$4,0)*$D$9</f>
        <v>0</v>
      </c>
      <c r="N70" s="32">
        <f>ROUNDUP('Гарантия (машины)'!F61/$D$4,0)*$D$10</f>
        <v>0</v>
      </c>
      <c r="O70" s="32">
        <f>ROUNDUP('Гарантия (машины)'!G61/$D$4,0)*$D$5</f>
        <v>1</v>
      </c>
      <c r="P70" s="32">
        <f>ROUNDUP('Гарантия (машины)'!G61/$D$4,0)*$D$6</f>
        <v>2</v>
      </c>
      <c r="Q70" s="32">
        <f>ROUNDUP('Гарантия (машины)'!G61/$D$4,0)*$D$7</f>
        <v>1</v>
      </c>
      <c r="R70" s="32">
        <f>ROUNDUP('Гарантия (машины)'!H61/$D$4,0)*$D$8</f>
        <v>1</v>
      </c>
      <c r="S70" s="32">
        <f>ROUNDUP('Гарантия (машины)'!H61/$D$4,0)*$D$9</f>
        <v>1</v>
      </c>
      <c r="T70" s="32">
        <f>ROUNDUP('Гарантия (машины)'!H61/$D$4,0)*$D$10</f>
        <v>2</v>
      </c>
      <c r="U70" s="32">
        <f>ROUNDUP('Гарантия (машины)'!I61/$D$4,0)*$D$8</f>
        <v>2</v>
      </c>
      <c r="V70" s="32">
        <f>ROUNDUP('Гарантия (машины)'!I61/$D$4,0)*$D$9</f>
        <v>2</v>
      </c>
      <c r="W70" s="32">
        <f>ROUNDUP('Гарантия (машины)'!I61/$D$4,0)*$D$10</f>
        <v>4</v>
      </c>
    </row>
    <row r="71">
      <c r="A71" s="31" t="n">
        <v>47058</v>
      </c>
      <c r="B71" s="32">
        <f>YEAR(A71)</f>
        <v>2028</v>
      </c>
      <c r="C71" s="32">
        <f>ROUNDUP('Гарантия (машины)'!C62/$D$4,0)*$D$5</f>
        <v>2</v>
      </c>
      <c r="D71" s="32">
        <f>ROUNDUP('Гарантия (машины)'!C62/$D$4,0)*$D$6</f>
        <v>4</v>
      </c>
      <c r="E71" s="32">
        <f>ROUNDUP('Гарантия (машины)'!C62/$D$4,0)*$D$7</f>
        <v>2</v>
      </c>
      <c r="F71" s="32">
        <f>ROUNDUP('Гарантия (машины)'!D62/$D$4,0)*$D$8</f>
        <v>1</v>
      </c>
      <c r="G71" s="32">
        <f>ROUNDUP('Гарантия (машины)'!D62/$D$4,0)*$D$9</f>
        <v>1</v>
      </c>
      <c r="H71" s="32">
        <f>ROUNDUP('Гарантия (машины)'!D62/$D$4,0)*$D$10</f>
        <v>2</v>
      </c>
      <c r="I71" s="32">
        <f>ROUNDUP('Гарантия (машины)'!E62/$D$4,0)*$D$5</f>
        <v>8</v>
      </c>
      <c r="J71" s="32">
        <f>ROUNDUP('Гарантия (машины)'!E62/$D$4,0)*$D$6</f>
        <v>16</v>
      </c>
      <c r="K71" s="32">
        <f>ROUNDUP('Гарантия (машины)'!E62/$D$4,0)*$D$7</f>
        <v>8</v>
      </c>
      <c r="L71" s="32">
        <f>ROUNDUP('Гарантия (машины)'!F62/$D$4,0)*$D$8</f>
        <v>0</v>
      </c>
      <c r="M71" s="32">
        <f>ROUNDUP('Гарантия (машины)'!F62/$D$4,0)*$D$9</f>
        <v>0</v>
      </c>
      <c r="N71" s="32">
        <f>ROUNDUP('Гарантия (машины)'!F62/$D$4,0)*$D$10</f>
        <v>0</v>
      </c>
      <c r="O71" s="32">
        <f>ROUNDUP('Гарантия (машины)'!G62/$D$4,0)*$D$5</f>
        <v>1</v>
      </c>
      <c r="P71" s="32">
        <f>ROUNDUP('Гарантия (машины)'!G62/$D$4,0)*$D$6</f>
        <v>2</v>
      </c>
      <c r="Q71" s="32">
        <f>ROUNDUP('Гарантия (машины)'!G62/$D$4,0)*$D$7</f>
        <v>1</v>
      </c>
      <c r="R71" s="32">
        <f>ROUNDUP('Гарантия (машины)'!H62/$D$4,0)*$D$8</f>
        <v>0</v>
      </c>
      <c r="S71" s="32">
        <f>ROUNDUP('Гарантия (машины)'!H62/$D$4,0)*$D$9</f>
        <v>0</v>
      </c>
      <c r="T71" s="32">
        <f>ROUNDUP('Гарантия (машины)'!H62/$D$4,0)*$D$10</f>
        <v>0</v>
      </c>
      <c r="U71" s="32">
        <f>ROUNDUP('Гарантия (машины)'!I62/$D$4,0)*$D$8</f>
        <v>2</v>
      </c>
      <c r="V71" s="32">
        <f>ROUNDUP('Гарантия (машины)'!I62/$D$4,0)*$D$9</f>
        <v>2</v>
      </c>
      <c r="W71" s="32">
        <f>ROUNDUP('Гарантия (машины)'!I62/$D$4,0)*$D$10</f>
        <v>4</v>
      </c>
    </row>
    <row r="72">
      <c r="A72" s="31" t="n">
        <v>47088</v>
      </c>
      <c r="B72" s="32">
        <f>YEAR(A72)</f>
        <v>2028</v>
      </c>
      <c r="C72" s="32">
        <f>ROUNDUP('Гарантия (машины)'!C63/$D$4,0)*$D$5</f>
        <v>1</v>
      </c>
      <c r="D72" s="32">
        <f>ROUNDUP('Гарантия (машины)'!C63/$D$4,0)*$D$6</f>
        <v>2</v>
      </c>
      <c r="E72" s="32">
        <f>ROUNDUP('Гарантия (машины)'!C63/$D$4,0)*$D$7</f>
        <v>1</v>
      </c>
      <c r="F72" s="32">
        <f>ROUNDUP('Гарантия (машины)'!D63/$D$4,0)*$D$8</f>
        <v>0</v>
      </c>
      <c r="G72" s="32">
        <f>ROUNDUP('Гарантия (машины)'!D63/$D$4,0)*$D$9</f>
        <v>0</v>
      </c>
      <c r="H72" s="32">
        <f>ROUNDUP('Гарантия (машины)'!D63/$D$4,0)*$D$10</f>
        <v>0</v>
      </c>
      <c r="I72" s="32">
        <f>ROUNDUP('Гарантия (машины)'!E63/$D$4,0)*$D$5</f>
        <v>8</v>
      </c>
      <c r="J72" s="32">
        <f>ROUNDUP('Гарантия (машины)'!E63/$D$4,0)*$D$6</f>
        <v>16</v>
      </c>
      <c r="K72" s="32">
        <f>ROUNDUP('Гарантия (машины)'!E63/$D$4,0)*$D$7</f>
        <v>8</v>
      </c>
      <c r="L72" s="32">
        <f>ROUNDUP('Гарантия (машины)'!F63/$D$4,0)*$D$8</f>
        <v>0</v>
      </c>
      <c r="M72" s="32">
        <f>ROUNDUP('Гарантия (машины)'!F63/$D$4,0)*$D$9</f>
        <v>0</v>
      </c>
      <c r="N72" s="32">
        <f>ROUNDUP('Гарантия (машины)'!F63/$D$4,0)*$D$10</f>
        <v>0</v>
      </c>
      <c r="O72" s="32">
        <f>ROUNDUP('Гарантия (машины)'!G63/$D$4,0)*$D$5</f>
        <v>1</v>
      </c>
      <c r="P72" s="32">
        <f>ROUNDUP('Гарантия (машины)'!G63/$D$4,0)*$D$6</f>
        <v>2</v>
      </c>
      <c r="Q72" s="32">
        <f>ROUNDUP('Гарантия (машины)'!G63/$D$4,0)*$D$7</f>
        <v>1</v>
      </c>
      <c r="R72" s="32">
        <f>ROUNDUP('Гарантия (машины)'!H63/$D$4,0)*$D$8</f>
        <v>0</v>
      </c>
      <c r="S72" s="32">
        <f>ROUNDUP('Гарантия (машины)'!H63/$D$4,0)*$D$9</f>
        <v>0</v>
      </c>
      <c r="T72" s="32">
        <f>ROUNDUP('Гарантия (машины)'!H63/$D$4,0)*$D$10</f>
        <v>0</v>
      </c>
      <c r="U72" s="32">
        <f>ROUNDUP('Гарантия (машины)'!I63/$D$4,0)*$D$8</f>
        <v>2</v>
      </c>
      <c r="V72" s="32">
        <f>ROUNDUP('Гарантия (машины)'!I63/$D$4,0)*$D$9</f>
        <v>2</v>
      </c>
      <c r="W72" s="32">
        <f>ROUNDUP('Гарантия (машины)'!I63/$D$4,0)*$D$10</f>
        <v>4</v>
      </c>
    </row>
    <row r="73">
      <c r="A73" s="31" t="n">
        <v>47119</v>
      </c>
      <c r="B73" s="32">
        <f>YEAR(A73)</f>
        <v>2029</v>
      </c>
      <c r="C73" s="32">
        <f>ROUNDUP('Гарантия (машины)'!C64/$D$4,0)*$D$5</f>
        <v>1</v>
      </c>
      <c r="D73" s="32">
        <f>ROUNDUP('Гарантия (машины)'!C64/$D$4,0)*$D$6</f>
        <v>2</v>
      </c>
      <c r="E73" s="32">
        <f>ROUNDUP('Гарантия (машины)'!C64/$D$4,0)*$D$7</f>
        <v>1</v>
      </c>
      <c r="F73" s="32">
        <f>ROUNDUP('Гарантия (машины)'!D64/$D$4,0)*$D$8</f>
        <v>0</v>
      </c>
      <c r="G73" s="32">
        <f>ROUNDUP('Гарантия (машины)'!D64/$D$4,0)*$D$9</f>
        <v>0</v>
      </c>
      <c r="H73" s="32">
        <f>ROUNDUP('Гарантия (машины)'!D64/$D$4,0)*$D$10</f>
        <v>0</v>
      </c>
      <c r="I73" s="32">
        <f>ROUNDUP('Гарантия (машины)'!E64/$D$4,0)*$D$5</f>
        <v>8</v>
      </c>
      <c r="J73" s="32">
        <f>ROUNDUP('Гарантия (машины)'!E64/$D$4,0)*$D$6</f>
        <v>16</v>
      </c>
      <c r="K73" s="32">
        <f>ROUNDUP('Гарантия (машины)'!E64/$D$4,0)*$D$7</f>
        <v>8</v>
      </c>
      <c r="L73" s="32">
        <f>ROUNDUP('Гарантия (машины)'!F64/$D$4,0)*$D$8</f>
        <v>0</v>
      </c>
      <c r="M73" s="32">
        <f>ROUNDUP('Гарантия (машины)'!F64/$D$4,0)*$D$9</f>
        <v>0</v>
      </c>
      <c r="N73" s="32">
        <f>ROUNDUP('Гарантия (машины)'!F64/$D$4,0)*$D$10</f>
        <v>0</v>
      </c>
      <c r="O73" s="32">
        <f>ROUNDUP('Гарантия (машины)'!G64/$D$4,0)*$D$5</f>
        <v>1</v>
      </c>
      <c r="P73" s="32">
        <f>ROUNDUP('Гарантия (машины)'!G64/$D$4,0)*$D$6</f>
        <v>2</v>
      </c>
      <c r="Q73" s="32">
        <f>ROUNDUP('Гарантия (машины)'!G64/$D$4,0)*$D$7</f>
        <v>1</v>
      </c>
      <c r="R73" s="32">
        <f>ROUNDUP('Гарантия (машины)'!H64/$D$4,0)*$D$8</f>
        <v>0</v>
      </c>
      <c r="S73" s="32">
        <f>ROUNDUP('Гарантия (машины)'!H64/$D$4,0)*$D$9</f>
        <v>0</v>
      </c>
      <c r="T73" s="32">
        <f>ROUNDUP('Гарантия (машины)'!H64/$D$4,0)*$D$10</f>
        <v>0</v>
      </c>
      <c r="U73" s="32">
        <f>ROUNDUP('Гарантия (машины)'!I64/$D$4,0)*$D$8</f>
        <v>2</v>
      </c>
      <c r="V73" s="32">
        <f>ROUNDUP('Гарантия (машины)'!I64/$D$4,0)*$D$9</f>
        <v>2</v>
      </c>
      <c r="W73" s="32">
        <f>ROUNDUP('Гарантия (машины)'!I64/$D$4,0)*$D$10</f>
        <v>4</v>
      </c>
    </row>
    <row r="74">
      <c r="A74" s="31" t="n">
        <v>47150</v>
      </c>
      <c r="B74" s="32">
        <f>YEAR(A74)</f>
        <v>2029</v>
      </c>
      <c r="C74" s="32">
        <f>ROUNDUP('Гарантия (машины)'!C65/$D$4,0)*$D$5</f>
        <v>0</v>
      </c>
      <c r="D74" s="32">
        <f>ROUNDUP('Гарантия (машины)'!C65/$D$4,0)*$D$6</f>
        <v>0</v>
      </c>
      <c r="E74" s="32">
        <f>ROUNDUP('Гарантия (машины)'!C65/$D$4,0)*$D$7</f>
        <v>0</v>
      </c>
      <c r="F74" s="32">
        <f>ROUNDUP('Гарантия (машины)'!D65/$D$4,0)*$D$8</f>
        <v>0</v>
      </c>
      <c r="G74" s="32">
        <f>ROUNDUP('Гарантия (машины)'!D65/$D$4,0)*$D$9</f>
        <v>0</v>
      </c>
      <c r="H74" s="32">
        <f>ROUNDUP('Гарантия (машины)'!D65/$D$4,0)*$D$10</f>
        <v>0</v>
      </c>
      <c r="I74" s="32">
        <f>ROUNDUP('Гарантия (машины)'!E65/$D$4,0)*$D$5</f>
        <v>8</v>
      </c>
      <c r="J74" s="32">
        <f>ROUNDUP('Гарантия (машины)'!E65/$D$4,0)*$D$6</f>
        <v>16</v>
      </c>
      <c r="K74" s="32">
        <f>ROUNDUP('Гарантия (машины)'!E65/$D$4,0)*$D$7</f>
        <v>8</v>
      </c>
      <c r="L74" s="32">
        <f>ROUNDUP('Гарантия (машины)'!F65/$D$4,0)*$D$8</f>
        <v>0</v>
      </c>
      <c r="M74" s="32">
        <f>ROUNDUP('Гарантия (машины)'!F65/$D$4,0)*$D$9</f>
        <v>0</v>
      </c>
      <c r="N74" s="32">
        <f>ROUNDUP('Гарантия (машины)'!F65/$D$4,0)*$D$10</f>
        <v>0</v>
      </c>
      <c r="O74" s="32">
        <f>ROUNDUP('Гарантия (машины)'!G65/$D$4,0)*$D$5</f>
        <v>1</v>
      </c>
      <c r="P74" s="32">
        <f>ROUNDUP('Гарантия (машины)'!G65/$D$4,0)*$D$6</f>
        <v>2</v>
      </c>
      <c r="Q74" s="32">
        <f>ROUNDUP('Гарантия (машины)'!G65/$D$4,0)*$D$7</f>
        <v>1</v>
      </c>
      <c r="R74" s="32">
        <f>ROUNDUP('Гарантия (машины)'!H65/$D$4,0)*$D$8</f>
        <v>0</v>
      </c>
      <c r="S74" s="32">
        <f>ROUNDUP('Гарантия (машины)'!H65/$D$4,0)*$D$9</f>
        <v>0</v>
      </c>
      <c r="T74" s="32">
        <f>ROUNDUP('Гарантия (машины)'!H65/$D$4,0)*$D$10</f>
        <v>0</v>
      </c>
      <c r="U74" s="32">
        <f>ROUNDUP('Гарантия (машины)'!I65/$D$4,0)*$D$8</f>
        <v>2</v>
      </c>
      <c r="V74" s="32">
        <f>ROUNDUP('Гарантия (машины)'!I65/$D$4,0)*$D$9</f>
        <v>2</v>
      </c>
      <c r="W74" s="32">
        <f>ROUNDUP('Гарантия (машины)'!I65/$D$4,0)*$D$10</f>
        <v>4</v>
      </c>
    </row>
    <row r="75">
      <c r="A75" s="31" t="n">
        <v>47178</v>
      </c>
      <c r="B75" s="32">
        <f>YEAR(A75)</f>
        <v>2029</v>
      </c>
      <c r="C75" s="32">
        <f>ROUNDUP('Гарантия (машины)'!C66/$D$4,0)*$D$5</f>
        <v>0</v>
      </c>
      <c r="D75" s="32">
        <f>ROUNDUP('Гарантия (машины)'!C66/$D$4,0)*$D$6</f>
        <v>0</v>
      </c>
      <c r="E75" s="32">
        <f>ROUNDUP('Гарантия (машины)'!C66/$D$4,0)*$D$7</f>
        <v>0</v>
      </c>
      <c r="F75" s="32">
        <f>ROUNDUP('Гарантия (машины)'!D66/$D$4,0)*$D$8</f>
        <v>0</v>
      </c>
      <c r="G75" s="32">
        <f>ROUNDUP('Гарантия (машины)'!D66/$D$4,0)*$D$9</f>
        <v>0</v>
      </c>
      <c r="H75" s="32">
        <f>ROUNDUP('Гарантия (машины)'!D66/$D$4,0)*$D$10</f>
        <v>0</v>
      </c>
      <c r="I75" s="32">
        <f>ROUNDUP('Гарантия (машины)'!E66/$D$4,0)*$D$5</f>
        <v>8</v>
      </c>
      <c r="J75" s="32">
        <f>ROUNDUP('Гарантия (машины)'!E66/$D$4,0)*$D$6</f>
        <v>16</v>
      </c>
      <c r="K75" s="32">
        <f>ROUNDUP('Гарантия (машины)'!E66/$D$4,0)*$D$7</f>
        <v>8</v>
      </c>
      <c r="L75" s="32">
        <f>ROUNDUP('Гарантия (машины)'!F66/$D$4,0)*$D$8</f>
        <v>0</v>
      </c>
      <c r="M75" s="32">
        <f>ROUNDUP('Гарантия (машины)'!F66/$D$4,0)*$D$9</f>
        <v>0</v>
      </c>
      <c r="N75" s="32">
        <f>ROUNDUP('Гарантия (машины)'!F66/$D$4,0)*$D$10</f>
        <v>0</v>
      </c>
      <c r="O75" s="32">
        <f>ROUNDUP('Гарантия (машины)'!G66/$D$4,0)*$D$5</f>
        <v>1</v>
      </c>
      <c r="P75" s="32">
        <f>ROUNDUP('Гарантия (машины)'!G66/$D$4,0)*$D$6</f>
        <v>2</v>
      </c>
      <c r="Q75" s="32">
        <f>ROUNDUP('Гарантия (машины)'!G66/$D$4,0)*$D$7</f>
        <v>1</v>
      </c>
      <c r="R75" s="32">
        <f>ROUNDUP('Гарантия (машины)'!H66/$D$4,0)*$D$8</f>
        <v>0</v>
      </c>
      <c r="S75" s="32">
        <f>ROUNDUP('Гарантия (машины)'!H66/$D$4,0)*$D$9</f>
        <v>0</v>
      </c>
      <c r="T75" s="32">
        <f>ROUNDUP('Гарантия (машины)'!H66/$D$4,0)*$D$10</f>
        <v>0</v>
      </c>
      <c r="U75" s="32">
        <f>ROUNDUP('Гарантия (машины)'!I66/$D$4,0)*$D$8</f>
        <v>1</v>
      </c>
      <c r="V75" s="32">
        <f>ROUNDUP('Гарантия (машины)'!I66/$D$4,0)*$D$9</f>
        <v>1</v>
      </c>
      <c r="W75" s="32">
        <f>ROUNDUP('Гарантия (машины)'!I66/$D$4,0)*$D$10</f>
        <v>2</v>
      </c>
    </row>
    <row r="76">
      <c r="A76" s="31" t="n">
        <v>47209</v>
      </c>
      <c r="B76" s="32">
        <f>YEAR(A76)</f>
        <v>2029</v>
      </c>
      <c r="C76" s="32">
        <f>ROUNDUP('Гарантия (машины)'!C67/$D$4,0)*$D$5</f>
        <v>0</v>
      </c>
      <c r="D76" s="32">
        <f>ROUNDUP('Гарантия (машины)'!C67/$D$4,0)*$D$6</f>
        <v>0</v>
      </c>
      <c r="E76" s="32">
        <f>ROUNDUP('Гарантия (машины)'!C67/$D$4,0)*$D$7</f>
        <v>0</v>
      </c>
      <c r="F76" s="32">
        <f>ROUNDUP('Гарантия (машины)'!D67/$D$4,0)*$D$8</f>
        <v>0</v>
      </c>
      <c r="G76" s="32">
        <f>ROUNDUP('Гарантия (машины)'!D67/$D$4,0)*$D$9</f>
        <v>0</v>
      </c>
      <c r="H76" s="32">
        <f>ROUNDUP('Гарантия (машины)'!D67/$D$4,0)*$D$10</f>
        <v>0</v>
      </c>
      <c r="I76" s="32">
        <f>ROUNDUP('Гарантия (машины)'!E67/$D$4,0)*$D$5</f>
        <v>8</v>
      </c>
      <c r="J76" s="32">
        <f>ROUNDUP('Гарантия (машины)'!E67/$D$4,0)*$D$6</f>
        <v>16</v>
      </c>
      <c r="K76" s="32">
        <f>ROUNDUP('Гарантия (машины)'!E67/$D$4,0)*$D$7</f>
        <v>8</v>
      </c>
      <c r="L76" s="32">
        <f>ROUNDUP('Гарантия (машины)'!F67/$D$4,0)*$D$8</f>
        <v>0</v>
      </c>
      <c r="M76" s="32">
        <f>ROUNDUP('Гарантия (машины)'!F67/$D$4,0)*$D$9</f>
        <v>0</v>
      </c>
      <c r="N76" s="32">
        <f>ROUNDUP('Гарантия (машины)'!F67/$D$4,0)*$D$10</f>
        <v>0</v>
      </c>
      <c r="O76" s="32">
        <f>ROUNDUP('Гарантия (машины)'!G67/$D$4,0)*$D$5</f>
        <v>1</v>
      </c>
      <c r="P76" s="32">
        <f>ROUNDUP('Гарантия (машины)'!G67/$D$4,0)*$D$6</f>
        <v>2</v>
      </c>
      <c r="Q76" s="32">
        <f>ROUNDUP('Гарантия (машины)'!G67/$D$4,0)*$D$7</f>
        <v>1</v>
      </c>
      <c r="R76" s="32">
        <f>ROUNDUP('Гарантия (машины)'!H67/$D$4,0)*$D$8</f>
        <v>0</v>
      </c>
      <c r="S76" s="32">
        <f>ROUNDUP('Гарантия (машины)'!H67/$D$4,0)*$D$9</f>
        <v>0</v>
      </c>
      <c r="T76" s="32">
        <f>ROUNDUP('Гарантия (машины)'!H67/$D$4,0)*$D$10</f>
        <v>0</v>
      </c>
      <c r="U76" s="32">
        <f>ROUNDUP('Гарантия (машины)'!I67/$D$4,0)*$D$8</f>
        <v>1</v>
      </c>
      <c r="V76" s="32">
        <f>ROUNDUP('Гарантия (машины)'!I67/$D$4,0)*$D$9</f>
        <v>1</v>
      </c>
      <c r="W76" s="32">
        <f>ROUNDUP('Гарантия (машины)'!I67/$D$4,0)*$D$10</f>
        <v>2</v>
      </c>
    </row>
    <row r="77">
      <c r="A77" s="31" t="n">
        <v>47239</v>
      </c>
      <c r="B77" s="32">
        <f>YEAR(A77)</f>
        <v>2029</v>
      </c>
      <c r="C77" s="32">
        <f>ROUNDUP('Гарантия (машины)'!C68/$D$4,0)*$D$5</f>
        <v>0</v>
      </c>
      <c r="D77" s="32">
        <f>ROUNDUP('Гарантия (машины)'!C68/$D$4,0)*$D$6</f>
        <v>0</v>
      </c>
      <c r="E77" s="32">
        <f>ROUNDUP('Гарантия (машины)'!C68/$D$4,0)*$D$7</f>
        <v>0</v>
      </c>
      <c r="F77" s="32">
        <f>ROUNDUP('Гарантия (машины)'!D68/$D$4,0)*$D$8</f>
        <v>0</v>
      </c>
      <c r="G77" s="32">
        <f>ROUNDUP('Гарантия (машины)'!D68/$D$4,0)*$D$9</f>
        <v>0</v>
      </c>
      <c r="H77" s="32">
        <f>ROUNDUP('Гарантия (машины)'!D68/$D$4,0)*$D$10</f>
        <v>0</v>
      </c>
      <c r="I77" s="32">
        <f>ROUNDUP('Гарантия (машины)'!E68/$D$4,0)*$D$5</f>
        <v>8</v>
      </c>
      <c r="J77" s="32">
        <f>ROUNDUP('Гарантия (машины)'!E68/$D$4,0)*$D$6</f>
        <v>16</v>
      </c>
      <c r="K77" s="32">
        <f>ROUNDUP('Гарантия (машины)'!E68/$D$4,0)*$D$7</f>
        <v>8</v>
      </c>
      <c r="L77" s="32">
        <f>ROUNDUP('Гарантия (машины)'!F68/$D$4,0)*$D$8</f>
        <v>0</v>
      </c>
      <c r="M77" s="32">
        <f>ROUNDUP('Гарантия (машины)'!F68/$D$4,0)*$D$9</f>
        <v>0</v>
      </c>
      <c r="N77" s="32">
        <f>ROUNDUP('Гарантия (машины)'!F68/$D$4,0)*$D$10</f>
        <v>0</v>
      </c>
      <c r="O77" s="32">
        <f>ROUNDUP('Гарантия (машины)'!G68/$D$4,0)*$D$5</f>
        <v>1</v>
      </c>
      <c r="P77" s="32">
        <f>ROUNDUP('Гарантия (машины)'!G68/$D$4,0)*$D$6</f>
        <v>2</v>
      </c>
      <c r="Q77" s="32">
        <f>ROUNDUP('Гарантия (машины)'!G68/$D$4,0)*$D$7</f>
        <v>1</v>
      </c>
      <c r="R77" s="32">
        <f>ROUNDUP('Гарантия (машины)'!H68/$D$4,0)*$D$8</f>
        <v>0</v>
      </c>
      <c r="S77" s="32">
        <f>ROUNDUP('Гарантия (машины)'!H68/$D$4,0)*$D$9</f>
        <v>0</v>
      </c>
      <c r="T77" s="32">
        <f>ROUNDUP('Гарантия (машины)'!H68/$D$4,0)*$D$10</f>
        <v>0</v>
      </c>
      <c r="U77" s="32">
        <f>ROUNDUP('Гарантия (машины)'!I68/$D$4,0)*$D$8</f>
        <v>1</v>
      </c>
      <c r="V77" s="32">
        <f>ROUNDUP('Гарантия (машины)'!I68/$D$4,0)*$D$9</f>
        <v>1</v>
      </c>
      <c r="W77" s="32">
        <f>ROUNDUP('Гарантия (машины)'!I68/$D$4,0)*$D$10</f>
        <v>2</v>
      </c>
    </row>
    <row r="78">
      <c r="A78" s="31" t="n">
        <v>47270</v>
      </c>
      <c r="B78" s="32">
        <f>YEAR(A78)</f>
        <v>2029</v>
      </c>
      <c r="C78" s="32">
        <f>ROUNDUP('Гарантия (машины)'!C69/$D$4,0)*$D$5</f>
        <v>0</v>
      </c>
      <c r="D78" s="32">
        <f>ROUNDUP('Гарантия (машины)'!C69/$D$4,0)*$D$6</f>
        <v>0</v>
      </c>
      <c r="E78" s="32">
        <f>ROUNDUP('Гарантия (машины)'!C69/$D$4,0)*$D$7</f>
        <v>0</v>
      </c>
      <c r="F78" s="32">
        <f>ROUNDUP('Гарантия (машины)'!D69/$D$4,0)*$D$8</f>
        <v>0</v>
      </c>
      <c r="G78" s="32">
        <f>ROUNDUP('Гарантия (машины)'!D69/$D$4,0)*$D$9</f>
        <v>0</v>
      </c>
      <c r="H78" s="32">
        <f>ROUNDUP('Гарантия (машины)'!D69/$D$4,0)*$D$10</f>
        <v>0</v>
      </c>
      <c r="I78" s="32">
        <f>ROUNDUP('Гарантия (машины)'!E69/$D$4,0)*$D$5</f>
        <v>7</v>
      </c>
      <c r="J78" s="32">
        <f>ROUNDUP('Гарантия (машины)'!E69/$D$4,0)*$D$6</f>
        <v>14</v>
      </c>
      <c r="K78" s="32">
        <f>ROUNDUP('Гарантия (машины)'!E69/$D$4,0)*$D$7</f>
        <v>7</v>
      </c>
      <c r="L78" s="32">
        <f>ROUNDUP('Гарантия (машины)'!F69/$D$4,0)*$D$8</f>
        <v>0</v>
      </c>
      <c r="M78" s="32">
        <f>ROUNDUP('Гарантия (машины)'!F69/$D$4,0)*$D$9</f>
        <v>0</v>
      </c>
      <c r="N78" s="32">
        <f>ROUNDUP('Гарантия (машины)'!F69/$D$4,0)*$D$10</f>
        <v>0</v>
      </c>
      <c r="O78" s="32">
        <f>ROUNDUP('Гарантия (машины)'!G69/$D$4,0)*$D$5</f>
        <v>1</v>
      </c>
      <c r="P78" s="32">
        <f>ROUNDUP('Гарантия (машины)'!G69/$D$4,0)*$D$6</f>
        <v>2</v>
      </c>
      <c r="Q78" s="32">
        <f>ROUNDUP('Гарантия (машины)'!G69/$D$4,0)*$D$7</f>
        <v>1</v>
      </c>
      <c r="R78" s="32">
        <f>ROUNDUP('Гарантия (машины)'!H69/$D$4,0)*$D$8</f>
        <v>0</v>
      </c>
      <c r="S78" s="32">
        <f>ROUNDUP('Гарантия (машины)'!H69/$D$4,0)*$D$9</f>
        <v>0</v>
      </c>
      <c r="T78" s="32">
        <f>ROUNDUP('Гарантия (машины)'!H69/$D$4,0)*$D$10</f>
        <v>0</v>
      </c>
      <c r="U78" s="32">
        <f>ROUNDUP('Гарантия (машины)'!I69/$D$4,0)*$D$8</f>
        <v>0</v>
      </c>
      <c r="V78" s="32">
        <f>ROUNDUP('Гарантия (машины)'!I69/$D$4,0)*$D$9</f>
        <v>0</v>
      </c>
      <c r="W78" s="32">
        <f>ROUNDUP('Гарантия (машины)'!I69/$D$4,0)*$D$10</f>
        <v>0</v>
      </c>
    </row>
    <row r="79">
      <c r="A79" s="31" t="n">
        <v>47300</v>
      </c>
      <c r="B79" s="32">
        <f>YEAR(A79)</f>
        <v>2029</v>
      </c>
      <c r="C79" s="32">
        <f>ROUNDUP('Гарантия (машины)'!C70/$D$4,0)*$D$5</f>
        <v>0</v>
      </c>
      <c r="D79" s="32">
        <f>ROUNDUP('Гарантия (машины)'!C70/$D$4,0)*$D$6</f>
        <v>0</v>
      </c>
      <c r="E79" s="32">
        <f>ROUNDUP('Гарантия (машины)'!C70/$D$4,0)*$D$7</f>
        <v>0</v>
      </c>
      <c r="F79" s="32">
        <f>ROUNDUP('Гарантия (машины)'!D70/$D$4,0)*$D$8</f>
        <v>0</v>
      </c>
      <c r="G79" s="32">
        <f>ROUNDUP('Гарантия (машины)'!D70/$D$4,0)*$D$9</f>
        <v>0</v>
      </c>
      <c r="H79" s="32">
        <f>ROUNDUP('Гарантия (машины)'!D70/$D$4,0)*$D$10</f>
        <v>0</v>
      </c>
      <c r="I79" s="32">
        <f>ROUNDUP('Гарантия (машины)'!E70/$D$4,0)*$D$5</f>
        <v>7</v>
      </c>
      <c r="J79" s="32">
        <f>ROUNDUP('Гарантия (машины)'!E70/$D$4,0)*$D$6</f>
        <v>14</v>
      </c>
      <c r="K79" s="32">
        <f>ROUNDUP('Гарантия (машины)'!E70/$D$4,0)*$D$7</f>
        <v>7</v>
      </c>
      <c r="L79" s="32">
        <f>ROUNDUP('Гарантия (машины)'!F70/$D$4,0)*$D$8</f>
        <v>0</v>
      </c>
      <c r="M79" s="32">
        <f>ROUNDUP('Гарантия (машины)'!F70/$D$4,0)*$D$9</f>
        <v>0</v>
      </c>
      <c r="N79" s="32">
        <f>ROUNDUP('Гарантия (машины)'!F70/$D$4,0)*$D$10</f>
        <v>0</v>
      </c>
      <c r="O79" s="32">
        <f>ROUNDUP('Гарантия (машины)'!G70/$D$4,0)*$D$5</f>
        <v>1</v>
      </c>
      <c r="P79" s="32">
        <f>ROUNDUP('Гарантия (машины)'!G70/$D$4,0)*$D$6</f>
        <v>2</v>
      </c>
      <c r="Q79" s="32">
        <f>ROUNDUP('Гарантия (машины)'!G70/$D$4,0)*$D$7</f>
        <v>1</v>
      </c>
      <c r="R79" s="32">
        <f>ROUNDUP('Гарантия (машины)'!H70/$D$4,0)*$D$8</f>
        <v>0</v>
      </c>
      <c r="S79" s="32">
        <f>ROUNDUP('Гарантия (машины)'!H70/$D$4,0)*$D$9</f>
        <v>0</v>
      </c>
      <c r="T79" s="32">
        <f>ROUNDUP('Гарантия (машины)'!H70/$D$4,0)*$D$10</f>
        <v>0</v>
      </c>
      <c r="U79" s="32">
        <f>ROUNDUP('Гарантия (машины)'!I70/$D$4,0)*$D$8</f>
        <v>0</v>
      </c>
      <c r="V79" s="32">
        <f>ROUNDUP('Гарантия (машины)'!I70/$D$4,0)*$D$9</f>
        <v>0</v>
      </c>
      <c r="W79" s="32">
        <f>ROUNDUP('Гарантия (машины)'!I70/$D$4,0)*$D$10</f>
        <v>0</v>
      </c>
    </row>
    <row r="80">
      <c r="A80" s="31" t="n">
        <v>47331</v>
      </c>
      <c r="B80" s="32">
        <f>YEAR(A80)</f>
        <v>2029</v>
      </c>
      <c r="C80" s="32">
        <f>ROUNDUP('Гарантия (машины)'!C71/$D$4,0)*$D$5</f>
        <v>0</v>
      </c>
      <c r="D80" s="32">
        <f>ROUNDUP('Гарантия (машины)'!C71/$D$4,0)*$D$6</f>
        <v>0</v>
      </c>
      <c r="E80" s="32">
        <f>ROUNDUP('Гарантия (машины)'!C71/$D$4,0)*$D$7</f>
        <v>0</v>
      </c>
      <c r="F80" s="32">
        <f>ROUNDUP('Гарантия (машины)'!D71/$D$4,0)*$D$8</f>
        <v>0</v>
      </c>
      <c r="G80" s="32">
        <f>ROUNDUP('Гарантия (машины)'!D71/$D$4,0)*$D$9</f>
        <v>0</v>
      </c>
      <c r="H80" s="32">
        <f>ROUNDUP('Гарантия (машины)'!D71/$D$4,0)*$D$10</f>
        <v>0</v>
      </c>
      <c r="I80" s="32">
        <f>ROUNDUP('Гарантия (машины)'!E71/$D$4,0)*$D$5</f>
        <v>7</v>
      </c>
      <c r="J80" s="32">
        <f>ROUNDUP('Гарантия (машины)'!E71/$D$4,0)*$D$6</f>
        <v>14</v>
      </c>
      <c r="K80" s="32">
        <f>ROUNDUP('Гарантия (машины)'!E71/$D$4,0)*$D$7</f>
        <v>7</v>
      </c>
      <c r="L80" s="32">
        <f>ROUNDUP('Гарантия (машины)'!F71/$D$4,0)*$D$8</f>
        <v>0</v>
      </c>
      <c r="M80" s="32">
        <f>ROUNDUP('Гарантия (машины)'!F71/$D$4,0)*$D$9</f>
        <v>0</v>
      </c>
      <c r="N80" s="32">
        <f>ROUNDUP('Гарантия (машины)'!F71/$D$4,0)*$D$10</f>
        <v>0</v>
      </c>
      <c r="O80" s="32">
        <f>ROUNDUP('Гарантия (машины)'!G71/$D$4,0)*$D$5</f>
        <v>1</v>
      </c>
      <c r="P80" s="32">
        <f>ROUNDUP('Гарантия (машины)'!G71/$D$4,0)*$D$6</f>
        <v>2</v>
      </c>
      <c r="Q80" s="32">
        <f>ROUNDUP('Гарантия (машины)'!G71/$D$4,0)*$D$7</f>
        <v>1</v>
      </c>
      <c r="R80" s="32">
        <f>ROUNDUP('Гарантия (машины)'!H71/$D$4,0)*$D$8</f>
        <v>0</v>
      </c>
      <c r="S80" s="32">
        <f>ROUNDUP('Гарантия (машины)'!H71/$D$4,0)*$D$9</f>
        <v>0</v>
      </c>
      <c r="T80" s="32">
        <f>ROUNDUP('Гарантия (машины)'!H71/$D$4,0)*$D$10</f>
        <v>0</v>
      </c>
      <c r="U80" s="32">
        <f>ROUNDUP('Гарантия (машины)'!I71/$D$4,0)*$D$8</f>
        <v>0</v>
      </c>
      <c r="V80" s="32">
        <f>ROUNDUP('Гарантия (машины)'!I71/$D$4,0)*$D$9</f>
        <v>0</v>
      </c>
      <c r="W80" s="32">
        <f>ROUNDUP('Гарантия (машины)'!I71/$D$4,0)*$D$10</f>
        <v>0</v>
      </c>
    </row>
    <row r="81">
      <c r="A81" s="31" t="n">
        <v>47362</v>
      </c>
      <c r="B81" s="32">
        <f>YEAR(A81)</f>
        <v>2029</v>
      </c>
      <c r="C81" s="32">
        <f>ROUNDUP('Гарантия (машины)'!C72/$D$4,0)*$D$5</f>
        <v>0</v>
      </c>
      <c r="D81" s="32">
        <f>ROUNDUP('Гарантия (машины)'!C72/$D$4,0)*$D$6</f>
        <v>0</v>
      </c>
      <c r="E81" s="32">
        <f>ROUNDUP('Гарантия (машины)'!C72/$D$4,0)*$D$7</f>
        <v>0</v>
      </c>
      <c r="F81" s="32">
        <f>ROUNDUP('Гарантия (машины)'!D72/$D$4,0)*$D$8</f>
        <v>0</v>
      </c>
      <c r="G81" s="32">
        <f>ROUNDUP('Гарантия (машины)'!D72/$D$4,0)*$D$9</f>
        <v>0</v>
      </c>
      <c r="H81" s="32">
        <f>ROUNDUP('Гарантия (машины)'!D72/$D$4,0)*$D$10</f>
        <v>0</v>
      </c>
      <c r="I81" s="32">
        <f>ROUNDUP('Гарантия (машины)'!E72/$D$4,0)*$D$5</f>
        <v>6</v>
      </c>
      <c r="J81" s="32">
        <f>ROUNDUP('Гарантия (машины)'!E72/$D$4,0)*$D$6</f>
        <v>12</v>
      </c>
      <c r="K81" s="32">
        <f>ROUNDUP('Гарантия (машины)'!E72/$D$4,0)*$D$7</f>
        <v>6</v>
      </c>
      <c r="L81" s="32">
        <f>ROUNDUP('Гарантия (машины)'!F72/$D$4,0)*$D$8</f>
        <v>0</v>
      </c>
      <c r="M81" s="32">
        <f>ROUNDUP('Гарантия (машины)'!F72/$D$4,0)*$D$9</f>
        <v>0</v>
      </c>
      <c r="N81" s="32">
        <f>ROUNDUP('Гарантия (машины)'!F72/$D$4,0)*$D$10</f>
        <v>0</v>
      </c>
      <c r="O81" s="32">
        <f>ROUNDUP('Гарантия (машины)'!G72/$D$4,0)*$D$5</f>
        <v>0</v>
      </c>
      <c r="P81" s="32">
        <f>ROUNDUP('Гарантия (машины)'!G72/$D$4,0)*$D$6</f>
        <v>0</v>
      </c>
      <c r="Q81" s="32">
        <f>ROUNDUP('Гарантия (машины)'!G72/$D$4,0)*$D$7</f>
        <v>0</v>
      </c>
      <c r="R81" s="32">
        <f>ROUNDUP('Гарантия (машины)'!H72/$D$4,0)*$D$8</f>
        <v>0</v>
      </c>
      <c r="S81" s="32">
        <f>ROUNDUP('Гарантия (машины)'!H72/$D$4,0)*$D$9</f>
        <v>0</v>
      </c>
      <c r="T81" s="32">
        <f>ROUNDUP('Гарантия (машины)'!H72/$D$4,0)*$D$10</f>
        <v>0</v>
      </c>
      <c r="U81" s="32">
        <f>ROUNDUP('Гарантия (машины)'!I72/$D$4,0)*$D$8</f>
        <v>0</v>
      </c>
      <c r="V81" s="32">
        <f>ROUNDUP('Гарантия (машины)'!I72/$D$4,0)*$D$9</f>
        <v>0</v>
      </c>
      <c r="W81" s="32">
        <f>ROUNDUP('Гарантия (машины)'!I72/$D$4,0)*$D$10</f>
        <v>0</v>
      </c>
    </row>
    <row r="82">
      <c r="A82" s="31" t="n">
        <v>47392</v>
      </c>
      <c r="B82" s="32">
        <f>YEAR(A82)</f>
        <v>2029</v>
      </c>
      <c r="C82" s="32">
        <f>ROUNDUP('Гарантия (машины)'!C73/$D$4,0)*$D$5</f>
        <v>0</v>
      </c>
      <c r="D82" s="32">
        <f>ROUNDUP('Гарантия (машины)'!C73/$D$4,0)*$D$6</f>
        <v>0</v>
      </c>
      <c r="E82" s="32">
        <f>ROUNDUP('Гарантия (машины)'!C73/$D$4,0)*$D$7</f>
        <v>0</v>
      </c>
      <c r="F82" s="32">
        <f>ROUNDUP('Гарантия (машины)'!D73/$D$4,0)*$D$8</f>
        <v>0</v>
      </c>
      <c r="G82" s="32">
        <f>ROUNDUP('Гарантия (машины)'!D73/$D$4,0)*$D$9</f>
        <v>0</v>
      </c>
      <c r="H82" s="32">
        <f>ROUNDUP('Гарантия (машины)'!D73/$D$4,0)*$D$10</f>
        <v>0</v>
      </c>
      <c r="I82" s="32">
        <f>ROUNDUP('Гарантия (машины)'!E73/$D$4,0)*$D$5</f>
        <v>6</v>
      </c>
      <c r="J82" s="32">
        <f>ROUNDUP('Гарантия (машины)'!E73/$D$4,0)*$D$6</f>
        <v>12</v>
      </c>
      <c r="K82" s="32">
        <f>ROUNDUP('Гарантия (машины)'!E73/$D$4,0)*$D$7</f>
        <v>6</v>
      </c>
      <c r="L82" s="32">
        <f>ROUNDUP('Гарантия (машины)'!F73/$D$4,0)*$D$8</f>
        <v>0</v>
      </c>
      <c r="M82" s="32">
        <f>ROUNDUP('Гарантия (машины)'!F73/$D$4,0)*$D$9</f>
        <v>0</v>
      </c>
      <c r="N82" s="32">
        <f>ROUNDUP('Гарантия (машины)'!F73/$D$4,0)*$D$10</f>
        <v>0</v>
      </c>
      <c r="O82" s="32">
        <f>ROUNDUP('Гарантия (машины)'!G73/$D$4,0)*$D$5</f>
        <v>0</v>
      </c>
      <c r="P82" s="32">
        <f>ROUNDUP('Гарантия (машины)'!G73/$D$4,0)*$D$6</f>
        <v>0</v>
      </c>
      <c r="Q82" s="32">
        <f>ROUNDUP('Гарантия (машины)'!G73/$D$4,0)*$D$7</f>
        <v>0</v>
      </c>
      <c r="R82" s="32">
        <f>ROUNDUP('Гарантия (машины)'!H73/$D$4,0)*$D$8</f>
        <v>0</v>
      </c>
      <c r="S82" s="32">
        <f>ROUNDUP('Гарантия (машины)'!H73/$D$4,0)*$D$9</f>
        <v>0</v>
      </c>
      <c r="T82" s="32">
        <f>ROUNDUP('Гарантия (машины)'!H73/$D$4,0)*$D$10</f>
        <v>0</v>
      </c>
      <c r="U82" s="32">
        <f>ROUNDUP('Гарантия (машины)'!I73/$D$4,0)*$D$8</f>
        <v>0</v>
      </c>
      <c r="V82" s="32">
        <f>ROUNDUP('Гарантия (машины)'!I73/$D$4,0)*$D$9</f>
        <v>0</v>
      </c>
      <c r="W82" s="32">
        <f>ROUNDUP('Гарантия (машины)'!I73/$D$4,0)*$D$10</f>
        <v>0</v>
      </c>
    </row>
    <row r="83">
      <c r="A83" s="31" t="n">
        <v>47423</v>
      </c>
      <c r="B83" s="32">
        <f>YEAR(A83)</f>
        <v>2029</v>
      </c>
      <c r="C83" s="32">
        <f>ROUNDUP('Гарантия (машины)'!C74/$D$4,0)*$D$5</f>
        <v>0</v>
      </c>
      <c r="D83" s="32">
        <f>ROUNDUP('Гарантия (машины)'!C74/$D$4,0)*$D$6</f>
        <v>0</v>
      </c>
      <c r="E83" s="32">
        <f>ROUNDUP('Гарантия (машины)'!C74/$D$4,0)*$D$7</f>
        <v>0</v>
      </c>
      <c r="F83" s="32">
        <f>ROUNDUP('Гарантия (машины)'!D74/$D$4,0)*$D$8</f>
        <v>0</v>
      </c>
      <c r="G83" s="32">
        <f>ROUNDUP('Гарантия (машины)'!D74/$D$4,0)*$D$9</f>
        <v>0</v>
      </c>
      <c r="H83" s="32">
        <f>ROUNDUP('Гарантия (машины)'!D74/$D$4,0)*$D$10</f>
        <v>0</v>
      </c>
      <c r="I83" s="32">
        <f>ROUNDUP('Гарантия (машины)'!E74/$D$4,0)*$D$5</f>
        <v>5</v>
      </c>
      <c r="J83" s="32">
        <f>ROUNDUP('Гарантия (машины)'!E74/$D$4,0)*$D$6</f>
        <v>10</v>
      </c>
      <c r="K83" s="32">
        <f>ROUNDUP('Гарантия (машины)'!E74/$D$4,0)*$D$7</f>
        <v>5</v>
      </c>
      <c r="L83" s="32">
        <f>ROUNDUP('Гарантия (машины)'!F74/$D$4,0)*$D$8</f>
        <v>0</v>
      </c>
      <c r="M83" s="32">
        <f>ROUNDUP('Гарантия (машины)'!F74/$D$4,0)*$D$9</f>
        <v>0</v>
      </c>
      <c r="N83" s="32">
        <f>ROUNDUP('Гарантия (машины)'!F74/$D$4,0)*$D$10</f>
        <v>0</v>
      </c>
      <c r="O83" s="32">
        <f>ROUNDUP('Гарантия (машины)'!G74/$D$4,0)*$D$5</f>
        <v>0</v>
      </c>
      <c r="P83" s="32">
        <f>ROUNDUP('Гарантия (машины)'!G74/$D$4,0)*$D$6</f>
        <v>0</v>
      </c>
      <c r="Q83" s="32">
        <f>ROUNDUP('Гарантия (машины)'!G74/$D$4,0)*$D$7</f>
        <v>0</v>
      </c>
      <c r="R83" s="32">
        <f>ROUNDUP('Гарантия (машины)'!H74/$D$4,0)*$D$8</f>
        <v>0</v>
      </c>
      <c r="S83" s="32">
        <f>ROUNDUP('Гарантия (машины)'!H74/$D$4,0)*$D$9</f>
        <v>0</v>
      </c>
      <c r="T83" s="32">
        <f>ROUNDUP('Гарантия (машины)'!H74/$D$4,0)*$D$10</f>
        <v>0</v>
      </c>
      <c r="U83" s="32">
        <f>ROUNDUP('Гарантия (машины)'!I74/$D$4,0)*$D$8</f>
        <v>0</v>
      </c>
      <c r="V83" s="32">
        <f>ROUNDUP('Гарантия (машины)'!I74/$D$4,0)*$D$9</f>
        <v>0</v>
      </c>
      <c r="W83" s="32">
        <f>ROUNDUP('Гарантия (машины)'!I74/$D$4,0)*$D$10</f>
        <v>0</v>
      </c>
    </row>
    <row r="84">
      <c r="A84" s="31" t="n">
        <v>47453</v>
      </c>
      <c r="B84" s="32">
        <f>YEAR(A84)</f>
        <v>2029</v>
      </c>
      <c r="C84" s="32">
        <f>ROUNDUP('Гарантия (машины)'!C75/$D$4,0)*$D$5</f>
        <v>0</v>
      </c>
      <c r="D84" s="32">
        <f>ROUNDUP('Гарантия (машины)'!C75/$D$4,0)*$D$6</f>
        <v>0</v>
      </c>
      <c r="E84" s="32">
        <f>ROUNDUP('Гарантия (машины)'!C75/$D$4,0)*$D$7</f>
        <v>0</v>
      </c>
      <c r="F84" s="32">
        <f>ROUNDUP('Гарантия (машины)'!D75/$D$4,0)*$D$8</f>
        <v>0</v>
      </c>
      <c r="G84" s="32">
        <f>ROUNDUP('Гарантия (машины)'!D75/$D$4,0)*$D$9</f>
        <v>0</v>
      </c>
      <c r="H84" s="32">
        <f>ROUNDUP('Гарантия (машины)'!D75/$D$4,0)*$D$10</f>
        <v>0</v>
      </c>
      <c r="I84" s="32">
        <f>ROUNDUP('Гарантия (машины)'!E75/$D$4,0)*$D$5</f>
        <v>5</v>
      </c>
      <c r="J84" s="32">
        <f>ROUNDUP('Гарантия (машины)'!E75/$D$4,0)*$D$6</f>
        <v>10</v>
      </c>
      <c r="K84" s="32">
        <f>ROUNDUP('Гарантия (машины)'!E75/$D$4,0)*$D$7</f>
        <v>5</v>
      </c>
      <c r="L84" s="32">
        <f>ROUNDUP('Гарантия (машины)'!F75/$D$4,0)*$D$8</f>
        <v>0</v>
      </c>
      <c r="M84" s="32">
        <f>ROUNDUP('Гарантия (машины)'!F75/$D$4,0)*$D$9</f>
        <v>0</v>
      </c>
      <c r="N84" s="32">
        <f>ROUNDUP('Гарантия (машины)'!F75/$D$4,0)*$D$10</f>
        <v>0</v>
      </c>
      <c r="O84" s="32">
        <f>ROUNDUP('Гарантия (машины)'!G75/$D$4,0)*$D$5</f>
        <v>0</v>
      </c>
      <c r="P84" s="32">
        <f>ROUNDUP('Гарантия (машины)'!G75/$D$4,0)*$D$6</f>
        <v>0</v>
      </c>
      <c r="Q84" s="32">
        <f>ROUNDUP('Гарантия (машины)'!G75/$D$4,0)*$D$7</f>
        <v>0</v>
      </c>
      <c r="R84" s="32">
        <f>ROUNDUP('Гарантия (машины)'!H75/$D$4,0)*$D$8</f>
        <v>0</v>
      </c>
      <c r="S84" s="32">
        <f>ROUNDUP('Гарантия (машины)'!H75/$D$4,0)*$D$9</f>
        <v>0</v>
      </c>
      <c r="T84" s="32">
        <f>ROUNDUP('Гарантия (машины)'!H75/$D$4,0)*$D$10</f>
        <v>0</v>
      </c>
      <c r="U84" s="32">
        <f>ROUNDUP('Гарантия (машины)'!I75/$D$4,0)*$D$8</f>
        <v>0</v>
      </c>
      <c r="V84" s="32">
        <f>ROUNDUP('Гарантия (машины)'!I75/$D$4,0)*$D$9</f>
        <v>0</v>
      </c>
      <c r="W84" s="32">
        <f>ROUNDUP('Гарантия (машины)'!I75/$D$4,0)*$D$10</f>
        <v>0</v>
      </c>
    </row>
    <row r="85">
      <c r="A85" s="31" t="n">
        <v>47484</v>
      </c>
      <c r="B85" s="32">
        <f>YEAR(A85)</f>
        <v>2030</v>
      </c>
      <c r="C85" s="32">
        <f>ROUNDUP('Гарантия (машины)'!C76/$D$4,0)*$D$5</f>
        <v>0</v>
      </c>
      <c r="D85" s="32">
        <f>ROUNDUP('Гарантия (машины)'!C76/$D$4,0)*$D$6</f>
        <v>0</v>
      </c>
      <c r="E85" s="32">
        <f>ROUNDUP('Гарантия (машины)'!C76/$D$4,0)*$D$7</f>
        <v>0</v>
      </c>
      <c r="F85" s="32">
        <f>ROUNDUP('Гарантия (машины)'!D76/$D$4,0)*$D$8</f>
        <v>0</v>
      </c>
      <c r="G85" s="32">
        <f>ROUNDUP('Гарантия (машины)'!D76/$D$4,0)*$D$9</f>
        <v>0</v>
      </c>
      <c r="H85" s="32">
        <f>ROUNDUP('Гарантия (машины)'!D76/$D$4,0)*$D$10</f>
        <v>0</v>
      </c>
      <c r="I85" s="32">
        <f>ROUNDUP('Гарантия (машины)'!E76/$D$4,0)*$D$5</f>
        <v>5</v>
      </c>
      <c r="J85" s="32">
        <f>ROUNDUP('Гарантия (машины)'!E76/$D$4,0)*$D$6</f>
        <v>10</v>
      </c>
      <c r="K85" s="32">
        <f>ROUNDUP('Гарантия (машины)'!E76/$D$4,0)*$D$7</f>
        <v>5</v>
      </c>
      <c r="L85" s="32">
        <f>ROUNDUP('Гарантия (машины)'!F76/$D$4,0)*$D$8</f>
        <v>0</v>
      </c>
      <c r="M85" s="32">
        <f>ROUNDUP('Гарантия (машины)'!F76/$D$4,0)*$D$9</f>
        <v>0</v>
      </c>
      <c r="N85" s="32">
        <f>ROUNDUP('Гарантия (машины)'!F76/$D$4,0)*$D$10</f>
        <v>0</v>
      </c>
      <c r="O85" s="32">
        <f>ROUNDUP('Гарантия (машины)'!G76/$D$4,0)*$D$5</f>
        <v>0</v>
      </c>
      <c r="P85" s="32">
        <f>ROUNDUP('Гарантия (машины)'!G76/$D$4,0)*$D$6</f>
        <v>0</v>
      </c>
      <c r="Q85" s="32">
        <f>ROUNDUP('Гарантия (машины)'!G76/$D$4,0)*$D$7</f>
        <v>0</v>
      </c>
      <c r="R85" s="32">
        <f>ROUNDUP('Гарантия (машины)'!H76/$D$4,0)*$D$8</f>
        <v>0</v>
      </c>
      <c r="S85" s="32">
        <f>ROUNDUP('Гарантия (машины)'!H76/$D$4,0)*$D$9</f>
        <v>0</v>
      </c>
      <c r="T85" s="32">
        <f>ROUNDUP('Гарантия (машины)'!H76/$D$4,0)*$D$10</f>
        <v>0</v>
      </c>
      <c r="U85" s="32">
        <f>ROUNDUP('Гарантия (машины)'!I76/$D$4,0)*$D$8</f>
        <v>0</v>
      </c>
      <c r="V85" s="32">
        <f>ROUNDUP('Гарантия (машины)'!I76/$D$4,0)*$D$9</f>
        <v>0</v>
      </c>
      <c r="W85" s="32">
        <f>ROUNDUP('Гарантия (машины)'!I76/$D$4,0)*$D$10</f>
        <v>0</v>
      </c>
    </row>
    <row r="86">
      <c r="A86" s="31" t="n">
        <v>47515</v>
      </c>
      <c r="B86" s="32">
        <f>YEAR(A86)</f>
        <v>2030</v>
      </c>
      <c r="C86" s="32">
        <f>ROUNDUP('Гарантия (машины)'!C77/$D$4,0)*$D$5</f>
        <v>0</v>
      </c>
      <c r="D86" s="32">
        <f>ROUNDUP('Гарантия (машины)'!C77/$D$4,0)*$D$6</f>
        <v>0</v>
      </c>
      <c r="E86" s="32">
        <f>ROUNDUP('Гарантия (машины)'!C77/$D$4,0)*$D$7</f>
        <v>0</v>
      </c>
      <c r="F86" s="32">
        <f>ROUNDUP('Гарантия (машины)'!D77/$D$4,0)*$D$8</f>
        <v>0</v>
      </c>
      <c r="G86" s="32">
        <f>ROUNDUP('Гарантия (машины)'!D77/$D$4,0)*$D$9</f>
        <v>0</v>
      </c>
      <c r="H86" s="32">
        <f>ROUNDUP('Гарантия (машины)'!D77/$D$4,0)*$D$10</f>
        <v>0</v>
      </c>
      <c r="I86" s="32">
        <f>ROUNDUP('Гарантия (машины)'!E77/$D$4,0)*$D$5</f>
        <v>4</v>
      </c>
      <c r="J86" s="32">
        <f>ROUNDUP('Гарантия (машины)'!E77/$D$4,0)*$D$6</f>
        <v>8</v>
      </c>
      <c r="K86" s="32">
        <f>ROUNDUP('Гарантия (машины)'!E77/$D$4,0)*$D$7</f>
        <v>4</v>
      </c>
      <c r="L86" s="32">
        <f>ROUNDUP('Гарантия (машины)'!F77/$D$4,0)*$D$8</f>
        <v>0</v>
      </c>
      <c r="M86" s="32">
        <f>ROUNDUP('Гарантия (машины)'!F77/$D$4,0)*$D$9</f>
        <v>0</v>
      </c>
      <c r="N86" s="32">
        <f>ROUNDUP('Гарантия (машины)'!F77/$D$4,0)*$D$10</f>
        <v>0</v>
      </c>
      <c r="O86" s="32">
        <f>ROUNDUP('Гарантия (машины)'!G77/$D$4,0)*$D$5</f>
        <v>0</v>
      </c>
      <c r="P86" s="32">
        <f>ROUNDUP('Гарантия (машины)'!G77/$D$4,0)*$D$6</f>
        <v>0</v>
      </c>
      <c r="Q86" s="32">
        <f>ROUNDUP('Гарантия (машины)'!G77/$D$4,0)*$D$7</f>
        <v>0</v>
      </c>
      <c r="R86" s="32">
        <f>ROUNDUP('Гарантия (машины)'!H77/$D$4,0)*$D$8</f>
        <v>0</v>
      </c>
      <c r="S86" s="32">
        <f>ROUNDUP('Гарантия (машины)'!H77/$D$4,0)*$D$9</f>
        <v>0</v>
      </c>
      <c r="T86" s="32">
        <f>ROUNDUP('Гарантия (машины)'!H77/$D$4,0)*$D$10</f>
        <v>0</v>
      </c>
      <c r="U86" s="32">
        <f>ROUNDUP('Гарантия (машины)'!I77/$D$4,0)*$D$8</f>
        <v>0</v>
      </c>
      <c r="V86" s="32">
        <f>ROUNDUP('Гарантия (машины)'!I77/$D$4,0)*$D$9</f>
        <v>0</v>
      </c>
      <c r="W86" s="32">
        <f>ROUNDUP('Гарантия (машины)'!I77/$D$4,0)*$D$10</f>
        <v>0</v>
      </c>
    </row>
    <row r="87">
      <c r="A87" s="31" t="n">
        <v>47543</v>
      </c>
      <c r="B87" s="32">
        <f>YEAR(A87)</f>
        <v>2030</v>
      </c>
      <c r="C87" s="32">
        <f>ROUNDUP('Гарантия (машины)'!C78/$D$4,0)*$D$5</f>
        <v>0</v>
      </c>
      <c r="D87" s="32">
        <f>ROUNDUP('Гарантия (машины)'!C78/$D$4,0)*$D$6</f>
        <v>0</v>
      </c>
      <c r="E87" s="32">
        <f>ROUNDUP('Гарантия (машины)'!C78/$D$4,0)*$D$7</f>
        <v>0</v>
      </c>
      <c r="F87" s="32">
        <f>ROUNDUP('Гарантия (машины)'!D78/$D$4,0)*$D$8</f>
        <v>0</v>
      </c>
      <c r="G87" s="32">
        <f>ROUNDUP('Гарантия (машины)'!D78/$D$4,0)*$D$9</f>
        <v>0</v>
      </c>
      <c r="H87" s="32">
        <f>ROUNDUP('Гарантия (машины)'!D78/$D$4,0)*$D$10</f>
        <v>0</v>
      </c>
      <c r="I87" s="32">
        <f>ROUNDUP('Гарантия (машины)'!E78/$D$4,0)*$D$5</f>
        <v>4</v>
      </c>
      <c r="J87" s="32">
        <f>ROUNDUP('Гарантия (машины)'!E78/$D$4,0)*$D$6</f>
        <v>8</v>
      </c>
      <c r="K87" s="32">
        <f>ROUNDUP('Гарантия (машины)'!E78/$D$4,0)*$D$7</f>
        <v>4</v>
      </c>
      <c r="L87" s="32">
        <f>ROUNDUP('Гарантия (машины)'!F78/$D$4,0)*$D$8</f>
        <v>0</v>
      </c>
      <c r="M87" s="32">
        <f>ROUNDUP('Гарантия (машины)'!F78/$D$4,0)*$D$9</f>
        <v>0</v>
      </c>
      <c r="N87" s="32">
        <f>ROUNDUP('Гарантия (машины)'!F78/$D$4,0)*$D$10</f>
        <v>0</v>
      </c>
      <c r="O87" s="32">
        <f>ROUNDUP('Гарантия (машины)'!G78/$D$4,0)*$D$5</f>
        <v>0</v>
      </c>
      <c r="P87" s="32">
        <f>ROUNDUP('Гарантия (машины)'!G78/$D$4,0)*$D$6</f>
        <v>0</v>
      </c>
      <c r="Q87" s="32">
        <f>ROUNDUP('Гарантия (машины)'!G78/$D$4,0)*$D$7</f>
        <v>0</v>
      </c>
      <c r="R87" s="32">
        <f>ROUNDUP('Гарантия (машины)'!H78/$D$4,0)*$D$8</f>
        <v>0</v>
      </c>
      <c r="S87" s="32">
        <f>ROUNDUP('Гарантия (машины)'!H78/$D$4,0)*$D$9</f>
        <v>0</v>
      </c>
      <c r="T87" s="32">
        <f>ROUNDUP('Гарантия (машины)'!H78/$D$4,0)*$D$10</f>
        <v>0</v>
      </c>
      <c r="U87" s="32">
        <f>ROUNDUP('Гарантия (машины)'!I78/$D$4,0)*$D$8</f>
        <v>0</v>
      </c>
      <c r="V87" s="32">
        <f>ROUNDUP('Гарантия (машины)'!I78/$D$4,0)*$D$9</f>
        <v>0</v>
      </c>
      <c r="W87" s="32">
        <f>ROUNDUP('Гарантия (машины)'!I78/$D$4,0)*$D$10</f>
        <v>0</v>
      </c>
    </row>
    <row r="88">
      <c r="A88" s="31" t="n">
        <v>47574</v>
      </c>
      <c r="B88" s="32">
        <f>YEAR(A88)</f>
        <v>2030</v>
      </c>
      <c r="C88" s="32">
        <f>ROUNDUP('Гарантия (машины)'!C79/$D$4,0)*$D$5</f>
        <v>0</v>
      </c>
      <c r="D88" s="32">
        <f>ROUNDUP('Гарантия (машины)'!C79/$D$4,0)*$D$6</f>
        <v>0</v>
      </c>
      <c r="E88" s="32">
        <f>ROUNDUP('Гарантия (машины)'!C79/$D$4,0)*$D$7</f>
        <v>0</v>
      </c>
      <c r="F88" s="32">
        <f>ROUNDUP('Гарантия (машины)'!D79/$D$4,0)*$D$8</f>
        <v>0</v>
      </c>
      <c r="G88" s="32">
        <f>ROUNDUP('Гарантия (машины)'!D79/$D$4,0)*$D$9</f>
        <v>0</v>
      </c>
      <c r="H88" s="32">
        <f>ROUNDUP('Гарантия (машины)'!D79/$D$4,0)*$D$10</f>
        <v>0</v>
      </c>
      <c r="I88" s="32">
        <f>ROUNDUP('Гарантия (машины)'!E79/$D$4,0)*$D$5</f>
        <v>4</v>
      </c>
      <c r="J88" s="32">
        <f>ROUNDUP('Гарантия (машины)'!E79/$D$4,0)*$D$6</f>
        <v>8</v>
      </c>
      <c r="K88" s="32">
        <f>ROUNDUP('Гарантия (машины)'!E79/$D$4,0)*$D$7</f>
        <v>4</v>
      </c>
      <c r="L88" s="32">
        <f>ROUNDUP('Гарантия (машины)'!F79/$D$4,0)*$D$8</f>
        <v>0</v>
      </c>
      <c r="M88" s="32">
        <f>ROUNDUP('Гарантия (машины)'!F79/$D$4,0)*$D$9</f>
        <v>0</v>
      </c>
      <c r="N88" s="32">
        <f>ROUNDUP('Гарантия (машины)'!F79/$D$4,0)*$D$10</f>
        <v>0</v>
      </c>
      <c r="O88" s="32">
        <f>ROUNDUP('Гарантия (машины)'!G79/$D$4,0)*$D$5</f>
        <v>0</v>
      </c>
      <c r="P88" s="32">
        <f>ROUNDUP('Гарантия (машины)'!G79/$D$4,0)*$D$6</f>
        <v>0</v>
      </c>
      <c r="Q88" s="32">
        <f>ROUNDUP('Гарантия (машины)'!G79/$D$4,0)*$D$7</f>
        <v>0</v>
      </c>
      <c r="R88" s="32">
        <f>ROUNDUP('Гарантия (машины)'!H79/$D$4,0)*$D$8</f>
        <v>0</v>
      </c>
      <c r="S88" s="32">
        <f>ROUNDUP('Гарантия (машины)'!H79/$D$4,0)*$D$9</f>
        <v>0</v>
      </c>
      <c r="T88" s="32">
        <f>ROUNDUP('Гарантия (машины)'!H79/$D$4,0)*$D$10</f>
        <v>0</v>
      </c>
      <c r="U88" s="32">
        <f>ROUNDUP('Гарантия (машины)'!I79/$D$4,0)*$D$8</f>
        <v>0</v>
      </c>
      <c r="V88" s="32">
        <f>ROUNDUP('Гарантия (машины)'!I79/$D$4,0)*$D$9</f>
        <v>0</v>
      </c>
      <c r="W88" s="32">
        <f>ROUNDUP('Гарантия (машины)'!I79/$D$4,0)*$D$10</f>
        <v>0</v>
      </c>
    </row>
    <row r="89">
      <c r="A89" s="31" t="n">
        <v>47604</v>
      </c>
      <c r="B89" s="32">
        <f>YEAR(A89)</f>
        <v>2030</v>
      </c>
      <c r="C89" s="32">
        <f>ROUNDUP('Гарантия (машины)'!C80/$D$4,0)*$D$5</f>
        <v>0</v>
      </c>
      <c r="D89" s="32">
        <f>ROUNDUP('Гарантия (машины)'!C80/$D$4,0)*$D$6</f>
        <v>0</v>
      </c>
      <c r="E89" s="32">
        <f>ROUNDUP('Гарантия (машины)'!C80/$D$4,0)*$D$7</f>
        <v>0</v>
      </c>
      <c r="F89" s="32">
        <f>ROUNDUP('Гарантия (машины)'!D80/$D$4,0)*$D$8</f>
        <v>0</v>
      </c>
      <c r="G89" s="32">
        <f>ROUNDUP('Гарантия (машины)'!D80/$D$4,0)*$D$9</f>
        <v>0</v>
      </c>
      <c r="H89" s="32">
        <f>ROUNDUP('Гарантия (машины)'!D80/$D$4,0)*$D$10</f>
        <v>0</v>
      </c>
      <c r="I89" s="32">
        <f>ROUNDUP('Гарантия (машины)'!E80/$D$4,0)*$D$5</f>
        <v>3</v>
      </c>
      <c r="J89" s="32">
        <f>ROUNDUP('Гарантия (машины)'!E80/$D$4,0)*$D$6</f>
        <v>6</v>
      </c>
      <c r="K89" s="32">
        <f>ROUNDUP('Гарантия (машины)'!E80/$D$4,0)*$D$7</f>
        <v>3</v>
      </c>
      <c r="L89" s="32">
        <f>ROUNDUP('Гарантия (машины)'!F80/$D$4,0)*$D$8</f>
        <v>0</v>
      </c>
      <c r="M89" s="32">
        <f>ROUNDUP('Гарантия (машины)'!F80/$D$4,0)*$D$9</f>
        <v>0</v>
      </c>
      <c r="N89" s="32">
        <f>ROUNDUP('Гарантия (машины)'!F80/$D$4,0)*$D$10</f>
        <v>0</v>
      </c>
      <c r="O89" s="32">
        <f>ROUNDUP('Гарантия (машины)'!G80/$D$4,0)*$D$5</f>
        <v>0</v>
      </c>
      <c r="P89" s="32">
        <f>ROUNDUP('Гарантия (машины)'!G80/$D$4,0)*$D$6</f>
        <v>0</v>
      </c>
      <c r="Q89" s="32">
        <f>ROUNDUP('Гарантия (машины)'!G80/$D$4,0)*$D$7</f>
        <v>0</v>
      </c>
      <c r="R89" s="32">
        <f>ROUNDUP('Гарантия (машины)'!H80/$D$4,0)*$D$8</f>
        <v>0</v>
      </c>
      <c r="S89" s="32">
        <f>ROUNDUP('Гарантия (машины)'!H80/$D$4,0)*$D$9</f>
        <v>0</v>
      </c>
      <c r="T89" s="32">
        <f>ROUNDUP('Гарантия (машины)'!H80/$D$4,0)*$D$10</f>
        <v>0</v>
      </c>
      <c r="U89" s="32">
        <f>ROUNDUP('Гарантия (машины)'!I80/$D$4,0)*$D$8</f>
        <v>0</v>
      </c>
      <c r="V89" s="32">
        <f>ROUNDUP('Гарантия (машины)'!I80/$D$4,0)*$D$9</f>
        <v>0</v>
      </c>
      <c r="W89" s="32">
        <f>ROUNDUP('Гарантия (машины)'!I80/$D$4,0)*$D$10</f>
        <v>0</v>
      </c>
    </row>
    <row r="90">
      <c r="A90" s="31" t="n">
        <v>47635</v>
      </c>
      <c r="B90" s="32">
        <f>YEAR(A90)</f>
        <v>2030</v>
      </c>
      <c r="C90" s="32">
        <f>ROUNDUP('Гарантия (машины)'!C81/$D$4,0)*$D$5</f>
        <v>0</v>
      </c>
      <c r="D90" s="32">
        <f>ROUNDUP('Гарантия (машины)'!C81/$D$4,0)*$D$6</f>
        <v>0</v>
      </c>
      <c r="E90" s="32">
        <f>ROUNDUP('Гарантия (машины)'!C81/$D$4,0)*$D$7</f>
        <v>0</v>
      </c>
      <c r="F90" s="32">
        <f>ROUNDUP('Гарантия (машины)'!D81/$D$4,0)*$D$8</f>
        <v>0</v>
      </c>
      <c r="G90" s="32">
        <f>ROUNDUP('Гарантия (машины)'!D81/$D$4,0)*$D$9</f>
        <v>0</v>
      </c>
      <c r="H90" s="32">
        <f>ROUNDUP('Гарантия (машины)'!D81/$D$4,0)*$D$10</f>
        <v>0</v>
      </c>
      <c r="I90" s="32">
        <f>ROUNDUP('Гарантия (машины)'!E81/$D$4,0)*$D$5</f>
        <v>3</v>
      </c>
      <c r="J90" s="32">
        <f>ROUNDUP('Гарантия (машины)'!E81/$D$4,0)*$D$6</f>
        <v>6</v>
      </c>
      <c r="K90" s="32">
        <f>ROUNDUP('Гарантия (машины)'!E81/$D$4,0)*$D$7</f>
        <v>3</v>
      </c>
      <c r="L90" s="32">
        <f>ROUNDUP('Гарантия (машины)'!F81/$D$4,0)*$D$8</f>
        <v>0</v>
      </c>
      <c r="M90" s="32">
        <f>ROUNDUP('Гарантия (машины)'!F81/$D$4,0)*$D$9</f>
        <v>0</v>
      </c>
      <c r="N90" s="32">
        <f>ROUNDUP('Гарантия (машины)'!F81/$D$4,0)*$D$10</f>
        <v>0</v>
      </c>
      <c r="O90" s="32">
        <f>ROUNDUP('Гарантия (машины)'!G81/$D$4,0)*$D$5</f>
        <v>0</v>
      </c>
      <c r="P90" s="32">
        <f>ROUNDUP('Гарантия (машины)'!G81/$D$4,0)*$D$6</f>
        <v>0</v>
      </c>
      <c r="Q90" s="32">
        <f>ROUNDUP('Гарантия (машины)'!G81/$D$4,0)*$D$7</f>
        <v>0</v>
      </c>
      <c r="R90" s="32">
        <f>ROUNDUP('Гарантия (машины)'!H81/$D$4,0)*$D$8</f>
        <v>0</v>
      </c>
      <c r="S90" s="32">
        <f>ROUNDUP('Гарантия (машины)'!H81/$D$4,0)*$D$9</f>
        <v>0</v>
      </c>
      <c r="T90" s="32">
        <f>ROUNDUP('Гарантия (машины)'!H81/$D$4,0)*$D$10</f>
        <v>0</v>
      </c>
      <c r="U90" s="32">
        <f>ROUNDUP('Гарантия (машины)'!I81/$D$4,0)*$D$8</f>
        <v>0</v>
      </c>
      <c r="V90" s="32">
        <f>ROUNDUP('Гарантия (машины)'!I81/$D$4,0)*$D$9</f>
        <v>0</v>
      </c>
      <c r="W90" s="32">
        <f>ROUNDUP('Гарантия (машины)'!I81/$D$4,0)*$D$10</f>
        <v>0</v>
      </c>
    </row>
    <row r="91">
      <c r="A91" s="31" t="n">
        <v>47665</v>
      </c>
      <c r="B91" s="32">
        <f>YEAR(A91)</f>
        <v>2030</v>
      </c>
      <c r="C91" s="32">
        <f>ROUNDUP('Гарантия (машины)'!C82/$D$4,0)*$D$5</f>
        <v>0</v>
      </c>
      <c r="D91" s="32">
        <f>ROUNDUP('Гарантия (машины)'!C82/$D$4,0)*$D$6</f>
        <v>0</v>
      </c>
      <c r="E91" s="32">
        <f>ROUNDUP('Гарантия (машины)'!C82/$D$4,0)*$D$7</f>
        <v>0</v>
      </c>
      <c r="F91" s="32">
        <f>ROUNDUP('Гарантия (машины)'!D82/$D$4,0)*$D$8</f>
        <v>0</v>
      </c>
      <c r="G91" s="32">
        <f>ROUNDUP('Гарантия (машины)'!D82/$D$4,0)*$D$9</f>
        <v>0</v>
      </c>
      <c r="H91" s="32">
        <f>ROUNDUP('Гарантия (машины)'!D82/$D$4,0)*$D$10</f>
        <v>0</v>
      </c>
      <c r="I91" s="32">
        <f>ROUNDUP('Гарантия (машины)'!E82/$D$4,0)*$D$5</f>
        <v>2</v>
      </c>
      <c r="J91" s="32">
        <f>ROUNDUP('Гарантия (машины)'!E82/$D$4,0)*$D$6</f>
        <v>4</v>
      </c>
      <c r="K91" s="32">
        <f>ROUNDUP('Гарантия (машины)'!E82/$D$4,0)*$D$7</f>
        <v>2</v>
      </c>
      <c r="L91" s="32">
        <f>ROUNDUP('Гарантия (машины)'!F82/$D$4,0)*$D$8</f>
        <v>0</v>
      </c>
      <c r="M91" s="32">
        <f>ROUNDUP('Гарантия (машины)'!F82/$D$4,0)*$D$9</f>
        <v>0</v>
      </c>
      <c r="N91" s="32">
        <f>ROUNDUP('Гарантия (машины)'!F82/$D$4,0)*$D$10</f>
        <v>0</v>
      </c>
      <c r="O91" s="32">
        <f>ROUNDUP('Гарантия (машины)'!G82/$D$4,0)*$D$5</f>
        <v>0</v>
      </c>
      <c r="P91" s="32">
        <f>ROUNDUP('Гарантия (машины)'!G82/$D$4,0)*$D$6</f>
        <v>0</v>
      </c>
      <c r="Q91" s="32">
        <f>ROUNDUP('Гарантия (машины)'!G82/$D$4,0)*$D$7</f>
        <v>0</v>
      </c>
      <c r="R91" s="32">
        <f>ROUNDUP('Гарантия (машины)'!H82/$D$4,0)*$D$8</f>
        <v>0</v>
      </c>
      <c r="S91" s="32">
        <f>ROUNDUP('Гарантия (машины)'!H82/$D$4,0)*$D$9</f>
        <v>0</v>
      </c>
      <c r="T91" s="32">
        <f>ROUNDUP('Гарантия (машины)'!H82/$D$4,0)*$D$10</f>
        <v>0</v>
      </c>
      <c r="U91" s="32">
        <f>ROUNDUP('Гарантия (машины)'!I82/$D$4,0)*$D$8</f>
        <v>0</v>
      </c>
      <c r="V91" s="32">
        <f>ROUNDUP('Гарантия (машины)'!I82/$D$4,0)*$D$9</f>
        <v>0</v>
      </c>
      <c r="W91" s="32">
        <f>ROUNDUP('Гарантия (машины)'!I82/$D$4,0)*$D$10</f>
        <v>0</v>
      </c>
    </row>
    <row r="92">
      <c r="A92" s="31" t="n">
        <v>47696</v>
      </c>
      <c r="B92" s="32">
        <f>YEAR(A92)</f>
        <v>2030</v>
      </c>
      <c r="C92" s="32">
        <f>ROUNDUP('Гарантия (машины)'!C83/$D$4,0)*$D$5</f>
        <v>0</v>
      </c>
      <c r="D92" s="32">
        <f>ROUNDUP('Гарантия (машины)'!C83/$D$4,0)*$D$6</f>
        <v>0</v>
      </c>
      <c r="E92" s="32">
        <f>ROUNDUP('Гарантия (машины)'!C83/$D$4,0)*$D$7</f>
        <v>0</v>
      </c>
      <c r="F92" s="32">
        <f>ROUNDUP('Гарантия (машины)'!D83/$D$4,0)*$D$8</f>
        <v>0</v>
      </c>
      <c r="G92" s="32">
        <f>ROUNDUP('Гарантия (машины)'!D83/$D$4,0)*$D$9</f>
        <v>0</v>
      </c>
      <c r="H92" s="32">
        <f>ROUNDUP('Гарантия (машины)'!D83/$D$4,0)*$D$10</f>
        <v>0</v>
      </c>
      <c r="I92" s="32">
        <f>ROUNDUP('Гарантия (машины)'!E83/$D$4,0)*$D$5</f>
        <v>2</v>
      </c>
      <c r="J92" s="32">
        <f>ROUNDUP('Гарантия (машины)'!E83/$D$4,0)*$D$6</f>
        <v>4</v>
      </c>
      <c r="K92" s="32">
        <f>ROUNDUP('Гарантия (машины)'!E83/$D$4,0)*$D$7</f>
        <v>2</v>
      </c>
      <c r="L92" s="32">
        <f>ROUNDUP('Гарантия (машины)'!F83/$D$4,0)*$D$8</f>
        <v>0</v>
      </c>
      <c r="M92" s="32">
        <f>ROUNDUP('Гарантия (машины)'!F83/$D$4,0)*$D$9</f>
        <v>0</v>
      </c>
      <c r="N92" s="32">
        <f>ROUNDUP('Гарантия (машины)'!F83/$D$4,0)*$D$10</f>
        <v>0</v>
      </c>
      <c r="O92" s="32">
        <f>ROUNDUP('Гарантия (машины)'!G83/$D$4,0)*$D$5</f>
        <v>0</v>
      </c>
      <c r="P92" s="32">
        <f>ROUNDUP('Гарантия (машины)'!G83/$D$4,0)*$D$6</f>
        <v>0</v>
      </c>
      <c r="Q92" s="32">
        <f>ROUNDUP('Гарантия (машины)'!G83/$D$4,0)*$D$7</f>
        <v>0</v>
      </c>
      <c r="R92" s="32">
        <f>ROUNDUP('Гарантия (машины)'!H83/$D$4,0)*$D$8</f>
        <v>0</v>
      </c>
      <c r="S92" s="32">
        <f>ROUNDUP('Гарантия (машины)'!H83/$D$4,0)*$D$9</f>
        <v>0</v>
      </c>
      <c r="T92" s="32">
        <f>ROUNDUP('Гарантия (машины)'!H83/$D$4,0)*$D$10</f>
        <v>0</v>
      </c>
      <c r="U92" s="32">
        <f>ROUNDUP('Гарантия (машины)'!I83/$D$4,0)*$D$8</f>
        <v>0</v>
      </c>
      <c r="V92" s="32">
        <f>ROUNDUP('Гарантия (машины)'!I83/$D$4,0)*$D$9</f>
        <v>0</v>
      </c>
      <c r="W92" s="32">
        <f>ROUNDUP('Гарантия (машины)'!I83/$D$4,0)*$D$10</f>
        <v>0</v>
      </c>
    </row>
    <row r="93">
      <c r="A93" s="31" t="n">
        <v>47727</v>
      </c>
      <c r="B93" s="32">
        <f>YEAR(A93)</f>
        <v>2030</v>
      </c>
      <c r="C93" s="32">
        <f>ROUNDUP('Гарантия (машины)'!C84/$D$4,0)*$D$5</f>
        <v>0</v>
      </c>
      <c r="D93" s="32">
        <f>ROUNDUP('Гарантия (машины)'!C84/$D$4,0)*$D$6</f>
        <v>0</v>
      </c>
      <c r="E93" s="32">
        <f>ROUNDUP('Гарантия (машины)'!C84/$D$4,0)*$D$7</f>
        <v>0</v>
      </c>
      <c r="F93" s="32">
        <f>ROUNDUP('Гарантия (машины)'!D84/$D$4,0)*$D$8</f>
        <v>0</v>
      </c>
      <c r="G93" s="32">
        <f>ROUNDUP('Гарантия (машины)'!D84/$D$4,0)*$D$9</f>
        <v>0</v>
      </c>
      <c r="H93" s="32">
        <f>ROUNDUP('Гарантия (машины)'!D84/$D$4,0)*$D$10</f>
        <v>0</v>
      </c>
      <c r="I93" s="32">
        <f>ROUNDUP('Гарантия (машины)'!E84/$D$4,0)*$D$5</f>
        <v>2</v>
      </c>
      <c r="J93" s="32">
        <f>ROUNDUP('Гарантия (машины)'!E84/$D$4,0)*$D$6</f>
        <v>4</v>
      </c>
      <c r="K93" s="32">
        <f>ROUNDUP('Гарантия (машины)'!E84/$D$4,0)*$D$7</f>
        <v>2</v>
      </c>
      <c r="L93" s="32">
        <f>ROUNDUP('Гарантия (машины)'!F84/$D$4,0)*$D$8</f>
        <v>0</v>
      </c>
      <c r="M93" s="32">
        <f>ROUNDUP('Гарантия (машины)'!F84/$D$4,0)*$D$9</f>
        <v>0</v>
      </c>
      <c r="N93" s="32">
        <f>ROUNDUP('Гарантия (машины)'!F84/$D$4,0)*$D$10</f>
        <v>0</v>
      </c>
      <c r="O93" s="32">
        <f>ROUNDUP('Гарантия (машины)'!G84/$D$4,0)*$D$5</f>
        <v>0</v>
      </c>
      <c r="P93" s="32">
        <f>ROUNDUP('Гарантия (машины)'!G84/$D$4,0)*$D$6</f>
        <v>0</v>
      </c>
      <c r="Q93" s="32">
        <f>ROUNDUP('Гарантия (машины)'!G84/$D$4,0)*$D$7</f>
        <v>0</v>
      </c>
      <c r="R93" s="32">
        <f>ROUNDUP('Гарантия (машины)'!H84/$D$4,0)*$D$8</f>
        <v>0</v>
      </c>
      <c r="S93" s="32">
        <f>ROUNDUP('Гарантия (машины)'!H84/$D$4,0)*$D$9</f>
        <v>0</v>
      </c>
      <c r="T93" s="32">
        <f>ROUNDUP('Гарантия (машины)'!H84/$D$4,0)*$D$10</f>
        <v>0</v>
      </c>
      <c r="U93" s="32">
        <f>ROUNDUP('Гарантия (машины)'!I84/$D$4,0)*$D$8</f>
        <v>0</v>
      </c>
      <c r="V93" s="32">
        <f>ROUNDUP('Гарантия (машины)'!I84/$D$4,0)*$D$9</f>
        <v>0</v>
      </c>
      <c r="W93" s="32">
        <f>ROUNDUP('Гарантия (машины)'!I84/$D$4,0)*$D$10</f>
        <v>0</v>
      </c>
    </row>
    <row r="94">
      <c r="A94" s="31" t="n">
        <v>47757</v>
      </c>
      <c r="B94" s="32">
        <f>YEAR(A94)</f>
        <v>2030</v>
      </c>
      <c r="C94" s="32">
        <f>ROUNDUP('Гарантия (машины)'!C85/$D$4,0)*$D$5</f>
        <v>0</v>
      </c>
      <c r="D94" s="32">
        <f>ROUNDUP('Гарантия (машины)'!C85/$D$4,0)*$D$6</f>
        <v>0</v>
      </c>
      <c r="E94" s="32">
        <f>ROUNDUP('Гарантия (машины)'!C85/$D$4,0)*$D$7</f>
        <v>0</v>
      </c>
      <c r="F94" s="32">
        <f>ROUNDUP('Гарантия (машины)'!D85/$D$4,0)*$D$8</f>
        <v>0</v>
      </c>
      <c r="G94" s="32">
        <f>ROUNDUP('Гарантия (машины)'!D85/$D$4,0)*$D$9</f>
        <v>0</v>
      </c>
      <c r="H94" s="32">
        <f>ROUNDUP('Гарантия (машины)'!D85/$D$4,0)*$D$10</f>
        <v>0</v>
      </c>
      <c r="I94" s="32">
        <f>ROUNDUP('Гарантия (машины)'!E85/$D$4,0)*$D$5</f>
        <v>2</v>
      </c>
      <c r="J94" s="32">
        <f>ROUNDUP('Гарантия (машины)'!E85/$D$4,0)*$D$6</f>
        <v>4</v>
      </c>
      <c r="K94" s="32">
        <f>ROUNDUP('Гарантия (машины)'!E85/$D$4,0)*$D$7</f>
        <v>2</v>
      </c>
      <c r="L94" s="32">
        <f>ROUNDUP('Гарантия (машины)'!F85/$D$4,0)*$D$8</f>
        <v>0</v>
      </c>
      <c r="M94" s="32">
        <f>ROUNDUP('Гарантия (машины)'!F85/$D$4,0)*$D$9</f>
        <v>0</v>
      </c>
      <c r="N94" s="32">
        <f>ROUNDUP('Гарантия (машины)'!F85/$D$4,0)*$D$10</f>
        <v>0</v>
      </c>
      <c r="O94" s="32">
        <f>ROUNDUP('Гарантия (машины)'!G85/$D$4,0)*$D$5</f>
        <v>0</v>
      </c>
      <c r="P94" s="32">
        <f>ROUNDUP('Гарантия (машины)'!G85/$D$4,0)*$D$6</f>
        <v>0</v>
      </c>
      <c r="Q94" s="32">
        <f>ROUNDUP('Гарантия (машины)'!G85/$D$4,0)*$D$7</f>
        <v>0</v>
      </c>
      <c r="R94" s="32">
        <f>ROUNDUP('Гарантия (машины)'!H85/$D$4,0)*$D$8</f>
        <v>0</v>
      </c>
      <c r="S94" s="32">
        <f>ROUNDUP('Гарантия (машины)'!H85/$D$4,0)*$D$9</f>
        <v>0</v>
      </c>
      <c r="T94" s="32">
        <f>ROUNDUP('Гарантия (машины)'!H85/$D$4,0)*$D$10</f>
        <v>0</v>
      </c>
      <c r="U94" s="32">
        <f>ROUNDUP('Гарантия (машины)'!I85/$D$4,0)*$D$8</f>
        <v>0</v>
      </c>
      <c r="V94" s="32">
        <f>ROUNDUP('Гарантия (машины)'!I85/$D$4,0)*$D$9</f>
        <v>0</v>
      </c>
      <c r="W94" s="32">
        <f>ROUNDUP('Гарантия (машины)'!I85/$D$4,0)*$D$10</f>
        <v>0</v>
      </c>
    </row>
    <row r="95">
      <c r="A95" s="31" t="n">
        <v>47788</v>
      </c>
      <c r="B95" s="32">
        <f>YEAR(A95)</f>
        <v>2030</v>
      </c>
      <c r="C95" s="32">
        <f>ROUNDUP('Гарантия (машины)'!C86/$D$4,0)*$D$5</f>
        <v>0</v>
      </c>
      <c r="D95" s="32">
        <f>ROUNDUP('Гарантия (машины)'!C86/$D$4,0)*$D$6</f>
        <v>0</v>
      </c>
      <c r="E95" s="32">
        <f>ROUNDUP('Гарантия (машины)'!C86/$D$4,0)*$D$7</f>
        <v>0</v>
      </c>
      <c r="F95" s="32">
        <f>ROUNDUP('Гарантия (машины)'!D86/$D$4,0)*$D$8</f>
        <v>0</v>
      </c>
      <c r="G95" s="32">
        <f>ROUNDUP('Гарантия (машины)'!D86/$D$4,0)*$D$9</f>
        <v>0</v>
      </c>
      <c r="H95" s="32">
        <f>ROUNDUP('Гарантия (машины)'!D86/$D$4,0)*$D$10</f>
        <v>0</v>
      </c>
      <c r="I95" s="32">
        <f>ROUNDUP('Гарантия (машины)'!E86/$D$4,0)*$D$5</f>
        <v>2</v>
      </c>
      <c r="J95" s="32">
        <f>ROUNDUP('Гарантия (машины)'!E86/$D$4,0)*$D$6</f>
        <v>4</v>
      </c>
      <c r="K95" s="32">
        <f>ROUNDUP('Гарантия (машины)'!E86/$D$4,0)*$D$7</f>
        <v>2</v>
      </c>
      <c r="L95" s="32">
        <f>ROUNDUP('Гарантия (машины)'!F86/$D$4,0)*$D$8</f>
        <v>0</v>
      </c>
      <c r="M95" s="32">
        <f>ROUNDUP('Гарантия (машины)'!F86/$D$4,0)*$D$9</f>
        <v>0</v>
      </c>
      <c r="N95" s="32">
        <f>ROUNDUP('Гарантия (машины)'!F86/$D$4,0)*$D$10</f>
        <v>0</v>
      </c>
      <c r="O95" s="32">
        <f>ROUNDUP('Гарантия (машины)'!G86/$D$4,0)*$D$5</f>
        <v>0</v>
      </c>
      <c r="P95" s="32">
        <f>ROUNDUP('Гарантия (машины)'!G86/$D$4,0)*$D$6</f>
        <v>0</v>
      </c>
      <c r="Q95" s="32">
        <f>ROUNDUP('Гарантия (машины)'!G86/$D$4,0)*$D$7</f>
        <v>0</v>
      </c>
      <c r="R95" s="32">
        <f>ROUNDUP('Гарантия (машины)'!H86/$D$4,0)*$D$8</f>
        <v>0</v>
      </c>
      <c r="S95" s="32">
        <f>ROUNDUP('Гарантия (машины)'!H86/$D$4,0)*$D$9</f>
        <v>0</v>
      </c>
      <c r="T95" s="32">
        <f>ROUNDUP('Гарантия (машины)'!H86/$D$4,0)*$D$10</f>
        <v>0</v>
      </c>
      <c r="U95" s="32">
        <f>ROUNDUP('Гарантия (машины)'!I86/$D$4,0)*$D$8</f>
        <v>0</v>
      </c>
      <c r="V95" s="32">
        <f>ROUNDUP('Гарантия (машины)'!I86/$D$4,0)*$D$9</f>
        <v>0</v>
      </c>
      <c r="W95" s="32">
        <f>ROUNDUP('Гарантия (машины)'!I86/$D$4,0)*$D$10</f>
        <v>0</v>
      </c>
    </row>
    <row r="96">
      <c r="A96" s="31" t="n">
        <v>47818</v>
      </c>
      <c r="B96" s="32">
        <f>YEAR(A96)</f>
        <v>2030</v>
      </c>
      <c r="C96" s="32">
        <f>ROUNDUP('Гарантия (машины)'!C87/$D$4,0)*$D$5</f>
        <v>0</v>
      </c>
      <c r="D96" s="32">
        <f>ROUNDUP('Гарантия (машины)'!C87/$D$4,0)*$D$6</f>
        <v>0</v>
      </c>
      <c r="E96" s="32">
        <f>ROUNDUP('Гарантия (машины)'!C87/$D$4,0)*$D$7</f>
        <v>0</v>
      </c>
      <c r="F96" s="32">
        <f>ROUNDUP('Гарантия (машины)'!D87/$D$4,0)*$D$8</f>
        <v>0</v>
      </c>
      <c r="G96" s="32">
        <f>ROUNDUP('Гарантия (машины)'!D87/$D$4,0)*$D$9</f>
        <v>0</v>
      </c>
      <c r="H96" s="32">
        <f>ROUNDUP('Гарантия (машины)'!D87/$D$4,0)*$D$10</f>
        <v>0</v>
      </c>
      <c r="I96" s="32">
        <f>ROUNDUP('Гарантия (машины)'!E87/$D$4,0)*$D$5</f>
        <v>1</v>
      </c>
      <c r="J96" s="32">
        <f>ROUNDUP('Гарантия (машины)'!E87/$D$4,0)*$D$6</f>
        <v>2</v>
      </c>
      <c r="K96" s="32">
        <f>ROUNDUP('Гарантия (машины)'!E87/$D$4,0)*$D$7</f>
        <v>1</v>
      </c>
      <c r="L96" s="32">
        <f>ROUNDUP('Гарантия (машины)'!F87/$D$4,0)*$D$8</f>
        <v>0</v>
      </c>
      <c r="M96" s="32">
        <f>ROUNDUP('Гарантия (машины)'!F87/$D$4,0)*$D$9</f>
        <v>0</v>
      </c>
      <c r="N96" s="32">
        <f>ROUNDUP('Гарантия (машины)'!F87/$D$4,0)*$D$10</f>
        <v>0</v>
      </c>
      <c r="O96" s="32">
        <f>ROUNDUP('Гарантия (машины)'!G87/$D$4,0)*$D$5</f>
        <v>0</v>
      </c>
      <c r="P96" s="32">
        <f>ROUNDUP('Гарантия (машины)'!G87/$D$4,0)*$D$6</f>
        <v>0</v>
      </c>
      <c r="Q96" s="32">
        <f>ROUNDUP('Гарантия (машины)'!G87/$D$4,0)*$D$7</f>
        <v>0</v>
      </c>
      <c r="R96" s="32">
        <f>ROUNDUP('Гарантия (машины)'!H87/$D$4,0)*$D$8</f>
        <v>0</v>
      </c>
      <c r="S96" s="32">
        <f>ROUNDUP('Гарантия (машины)'!H87/$D$4,0)*$D$9</f>
        <v>0</v>
      </c>
      <c r="T96" s="32">
        <f>ROUNDUP('Гарантия (машины)'!H87/$D$4,0)*$D$10</f>
        <v>0</v>
      </c>
      <c r="U96" s="32">
        <f>ROUNDUP('Гарантия (машины)'!I87/$D$4,0)*$D$8</f>
        <v>0</v>
      </c>
      <c r="V96" s="32">
        <f>ROUNDUP('Гарантия (машины)'!I87/$D$4,0)*$D$9</f>
        <v>0</v>
      </c>
      <c r="W96" s="32">
        <f>ROUNDUP('Гарантия (машины)'!I87/$D$4,0)*$D$10</f>
        <v>0</v>
      </c>
    </row>
    <row r="97">
      <c r="A97" s="31" t="n">
        <v>47849</v>
      </c>
      <c r="B97" s="32">
        <f>YEAR(A97)</f>
        <v>2031</v>
      </c>
      <c r="C97" s="32">
        <f>ROUNDUP('Гарантия (машины)'!C88/$D$4,0)*$D$5</f>
        <v>0</v>
      </c>
      <c r="D97" s="32">
        <f>ROUNDUP('Гарантия (машины)'!C88/$D$4,0)*$D$6</f>
        <v>0</v>
      </c>
      <c r="E97" s="32">
        <f>ROUNDUP('Гарантия (машины)'!C88/$D$4,0)*$D$7</f>
        <v>0</v>
      </c>
      <c r="F97" s="32">
        <f>ROUNDUP('Гарантия (машины)'!D88/$D$4,0)*$D$8</f>
        <v>0</v>
      </c>
      <c r="G97" s="32">
        <f>ROUNDUP('Гарантия (машины)'!D88/$D$4,0)*$D$9</f>
        <v>0</v>
      </c>
      <c r="H97" s="32">
        <f>ROUNDUP('Гарантия (машины)'!D88/$D$4,0)*$D$10</f>
        <v>0</v>
      </c>
      <c r="I97" s="32">
        <f>ROUNDUP('Гарантия (машины)'!E88/$D$4,0)*$D$5</f>
        <v>1</v>
      </c>
      <c r="J97" s="32">
        <f>ROUNDUP('Гарантия (машины)'!E88/$D$4,0)*$D$6</f>
        <v>2</v>
      </c>
      <c r="K97" s="32">
        <f>ROUNDUP('Гарантия (машины)'!E88/$D$4,0)*$D$7</f>
        <v>1</v>
      </c>
      <c r="L97" s="32">
        <f>ROUNDUP('Гарантия (машины)'!F88/$D$4,0)*$D$8</f>
        <v>0</v>
      </c>
      <c r="M97" s="32">
        <f>ROUNDUP('Гарантия (машины)'!F88/$D$4,0)*$D$9</f>
        <v>0</v>
      </c>
      <c r="N97" s="32">
        <f>ROUNDUP('Гарантия (машины)'!F88/$D$4,0)*$D$10</f>
        <v>0</v>
      </c>
      <c r="O97" s="32">
        <f>ROUNDUP('Гарантия (машины)'!G88/$D$4,0)*$D$5</f>
        <v>0</v>
      </c>
      <c r="P97" s="32">
        <f>ROUNDUP('Гарантия (машины)'!G88/$D$4,0)*$D$6</f>
        <v>0</v>
      </c>
      <c r="Q97" s="32">
        <f>ROUNDUP('Гарантия (машины)'!G88/$D$4,0)*$D$7</f>
        <v>0</v>
      </c>
      <c r="R97" s="32">
        <f>ROUNDUP('Гарантия (машины)'!H88/$D$4,0)*$D$8</f>
        <v>0</v>
      </c>
      <c r="S97" s="32">
        <f>ROUNDUP('Гарантия (машины)'!H88/$D$4,0)*$D$9</f>
        <v>0</v>
      </c>
      <c r="T97" s="32">
        <f>ROUNDUP('Гарантия (машины)'!H88/$D$4,0)*$D$10</f>
        <v>0</v>
      </c>
      <c r="U97" s="32">
        <f>ROUNDUP('Гарантия (машины)'!I88/$D$4,0)*$D$8</f>
        <v>0</v>
      </c>
      <c r="V97" s="32">
        <f>ROUNDUP('Гарантия (машины)'!I88/$D$4,0)*$D$9</f>
        <v>0</v>
      </c>
      <c r="W97" s="32">
        <f>ROUNDUP('Гарантия (машины)'!I88/$D$4,0)*$D$10</f>
        <v>0</v>
      </c>
    </row>
    <row r="98">
      <c r="A98" s="31" t="n">
        <v>47880</v>
      </c>
      <c r="B98" s="32">
        <f>YEAR(A98)</f>
        <v>2031</v>
      </c>
      <c r="C98" s="32">
        <f>ROUNDUP('Гарантия (машины)'!C89/$D$4,0)*$D$5</f>
        <v>0</v>
      </c>
      <c r="D98" s="32">
        <f>ROUNDUP('Гарантия (машины)'!C89/$D$4,0)*$D$6</f>
        <v>0</v>
      </c>
      <c r="E98" s="32">
        <f>ROUNDUP('Гарантия (машины)'!C89/$D$4,0)*$D$7</f>
        <v>0</v>
      </c>
      <c r="F98" s="32">
        <f>ROUNDUP('Гарантия (машины)'!D89/$D$4,0)*$D$8</f>
        <v>0</v>
      </c>
      <c r="G98" s="32">
        <f>ROUNDUP('Гарантия (машины)'!D89/$D$4,0)*$D$9</f>
        <v>0</v>
      </c>
      <c r="H98" s="32">
        <f>ROUNDUP('Гарантия (машины)'!D89/$D$4,0)*$D$10</f>
        <v>0</v>
      </c>
      <c r="I98" s="32">
        <f>ROUNDUP('Гарантия (машины)'!E89/$D$4,0)*$D$5</f>
        <v>0</v>
      </c>
      <c r="J98" s="32">
        <f>ROUNDUP('Гарантия (машины)'!E89/$D$4,0)*$D$6</f>
        <v>0</v>
      </c>
      <c r="K98" s="32">
        <f>ROUNDUP('Гарантия (машины)'!E89/$D$4,0)*$D$7</f>
        <v>0</v>
      </c>
      <c r="L98" s="32">
        <f>ROUNDUP('Гарантия (машины)'!F89/$D$4,0)*$D$8</f>
        <v>0</v>
      </c>
      <c r="M98" s="32">
        <f>ROUNDUP('Гарантия (машины)'!F89/$D$4,0)*$D$9</f>
        <v>0</v>
      </c>
      <c r="N98" s="32">
        <f>ROUNDUP('Гарантия (машины)'!F89/$D$4,0)*$D$10</f>
        <v>0</v>
      </c>
      <c r="O98" s="32">
        <f>ROUNDUP('Гарантия (машины)'!G89/$D$4,0)*$D$5</f>
        <v>0</v>
      </c>
      <c r="P98" s="32">
        <f>ROUNDUP('Гарантия (машины)'!G89/$D$4,0)*$D$6</f>
        <v>0</v>
      </c>
      <c r="Q98" s="32">
        <f>ROUNDUP('Гарантия (машины)'!G89/$D$4,0)*$D$7</f>
        <v>0</v>
      </c>
      <c r="R98" s="32">
        <f>ROUNDUP('Гарантия (машины)'!H89/$D$4,0)*$D$8</f>
        <v>0</v>
      </c>
      <c r="S98" s="32">
        <f>ROUNDUP('Гарантия (машины)'!H89/$D$4,0)*$D$9</f>
        <v>0</v>
      </c>
      <c r="T98" s="32">
        <f>ROUNDUP('Гарантия (машины)'!H89/$D$4,0)*$D$10</f>
        <v>0</v>
      </c>
      <c r="U98" s="32">
        <f>ROUNDUP('Гарантия (машины)'!I89/$D$4,0)*$D$8</f>
        <v>0</v>
      </c>
      <c r="V98" s="32">
        <f>ROUNDUP('Гарантия (машины)'!I89/$D$4,0)*$D$9</f>
        <v>0</v>
      </c>
      <c r="W98" s="32">
        <f>ROUNDUP('Гарантия (машины)'!I89/$D$4,0)*$D$10</f>
        <v>0</v>
      </c>
    </row>
    <row r="99">
      <c r="A99" s="31" t="n">
        <v>47908</v>
      </c>
      <c r="B99" s="32">
        <f>YEAR(A99)</f>
        <v>2031</v>
      </c>
      <c r="C99" s="32">
        <f>ROUNDUP('Гарантия (машины)'!C90/$D$4,0)*$D$5</f>
        <v>0</v>
      </c>
      <c r="D99" s="32">
        <f>ROUNDUP('Гарантия (машины)'!C90/$D$4,0)*$D$6</f>
        <v>0</v>
      </c>
      <c r="E99" s="32">
        <f>ROUNDUP('Гарантия (машины)'!C90/$D$4,0)*$D$7</f>
        <v>0</v>
      </c>
      <c r="F99" s="32">
        <f>ROUNDUP('Гарантия (машины)'!D90/$D$4,0)*$D$8</f>
        <v>0</v>
      </c>
      <c r="G99" s="32">
        <f>ROUNDUP('Гарантия (машины)'!D90/$D$4,0)*$D$9</f>
        <v>0</v>
      </c>
      <c r="H99" s="32">
        <f>ROUNDUP('Гарантия (машины)'!D90/$D$4,0)*$D$10</f>
        <v>0</v>
      </c>
      <c r="I99" s="32">
        <f>ROUNDUP('Гарантия (машины)'!E90/$D$4,0)*$D$5</f>
        <v>0</v>
      </c>
      <c r="J99" s="32">
        <f>ROUNDUP('Гарантия (машины)'!E90/$D$4,0)*$D$6</f>
        <v>0</v>
      </c>
      <c r="K99" s="32">
        <f>ROUNDUP('Гарантия (машины)'!E90/$D$4,0)*$D$7</f>
        <v>0</v>
      </c>
      <c r="L99" s="32">
        <f>ROUNDUP('Гарантия (машины)'!F90/$D$4,0)*$D$8</f>
        <v>0</v>
      </c>
      <c r="M99" s="32">
        <f>ROUNDUP('Гарантия (машины)'!F90/$D$4,0)*$D$9</f>
        <v>0</v>
      </c>
      <c r="N99" s="32">
        <f>ROUNDUP('Гарантия (машины)'!F90/$D$4,0)*$D$10</f>
        <v>0</v>
      </c>
      <c r="O99" s="32">
        <f>ROUNDUP('Гарантия (машины)'!G90/$D$4,0)*$D$5</f>
        <v>0</v>
      </c>
      <c r="P99" s="32">
        <f>ROUNDUP('Гарантия (машины)'!G90/$D$4,0)*$D$6</f>
        <v>0</v>
      </c>
      <c r="Q99" s="32">
        <f>ROUNDUP('Гарантия (машины)'!G90/$D$4,0)*$D$7</f>
        <v>0</v>
      </c>
      <c r="R99" s="32">
        <f>ROUNDUP('Гарантия (машины)'!H90/$D$4,0)*$D$8</f>
        <v>0</v>
      </c>
      <c r="S99" s="32">
        <f>ROUNDUP('Гарантия (машины)'!H90/$D$4,0)*$D$9</f>
        <v>0</v>
      </c>
      <c r="T99" s="32">
        <f>ROUNDUP('Гарантия (машины)'!H90/$D$4,0)*$D$10</f>
        <v>0</v>
      </c>
      <c r="U99" s="32">
        <f>ROUNDUP('Гарантия (машины)'!I90/$D$4,0)*$D$8</f>
        <v>0</v>
      </c>
      <c r="V99" s="32">
        <f>ROUNDUP('Гарантия (машины)'!I90/$D$4,0)*$D$9</f>
        <v>0</v>
      </c>
      <c r="W99" s="32">
        <f>ROUNDUP('Гарантия (машины)'!I90/$D$4,0)*$D$10</f>
        <v>0</v>
      </c>
    </row>
    <row r="100">
      <c r="A100" s="31" t="n">
        <v>47939</v>
      </c>
      <c r="B100" s="32">
        <f>YEAR(A100)</f>
        <v>2031</v>
      </c>
      <c r="C100" s="32">
        <f>ROUNDUP('Гарантия (машины)'!C91/$D$4,0)*$D$5</f>
        <v>0</v>
      </c>
      <c r="D100" s="32">
        <f>ROUNDUP('Гарантия (машины)'!C91/$D$4,0)*$D$6</f>
        <v>0</v>
      </c>
      <c r="E100" s="32">
        <f>ROUNDUP('Гарантия (машины)'!C91/$D$4,0)*$D$7</f>
        <v>0</v>
      </c>
      <c r="F100" s="32">
        <f>ROUNDUP('Гарантия (машины)'!D91/$D$4,0)*$D$8</f>
        <v>0</v>
      </c>
      <c r="G100" s="32">
        <f>ROUNDUP('Гарантия (машины)'!D91/$D$4,0)*$D$9</f>
        <v>0</v>
      </c>
      <c r="H100" s="32">
        <f>ROUNDUP('Гарантия (машины)'!D91/$D$4,0)*$D$10</f>
        <v>0</v>
      </c>
      <c r="I100" s="32">
        <f>ROUNDUP('Гарантия (машины)'!E91/$D$4,0)*$D$5</f>
        <v>0</v>
      </c>
      <c r="J100" s="32">
        <f>ROUNDUP('Гарантия (машины)'!E91/$D$4,0)*$D$6</f>
        <v>0</v>
      </c>
      <c r="K100" s="32">
        <f>ROUNDUP('Гарантия (машины)'!E91/$D$4,0)*$D$7</f>
        <v>0</v>
      </c>
      <c r="L100" s="32">
        <f>ROUNDUP('Гарантия (машины)'!F91/$D$4,0)*$D$8</f>
        <v>0</v>
      </c>
      <c r="M100" s="32">
        <f>ROUNDUP('Гарантия (машины)'!F91/$D$4,0)*$D$9</f>
        <v>0</v>
      </c>
      <c r="N100" s="32">
        <f>ROUNDUP('Гарантия (машины)'!F91/$D$4,0)*$D$10</f>
        <v>0</v>
      </c>
      <c r="O100" s="32">
        <f>ROUNDUP('Гарантия (машины)'!G91/$D$4,0)*$D$5</f>
        <v>0</v>
      </c>
      <c r="P100" s="32">
        <f>ROUNDUP('Гарантия (машины)'!G91/$D$4,0)*$D$6</f>
        <v>0</v>
      </c>
      <c r="Q100" s="32">
        <f>ROUNDUP('Гарантия (машины)'!G91/$D$4,0)*$D$7</f>
        <v>0</v>
      </c>
      <c r="R100" s="32">
        <f>ROUNDUP('Гарантия (машины)'!H91/$D$4,0)*$D$8</f>
        <v>0</v>
      </c>
      <c r="S100" s="32">
        <f>ROUNDUP('Гарантия (машины)'!H91/$D$4,0)*$D$9</f>
        <v>0</v>
      </c>
      <c r="T100" s="32">
        <f>ROUNDUP('Гарантия (машины)'!H91/$D$4,0)*$D$10</f>
        <v>0</v>
      </c>
      <c r="U100" s="32">
        <f>ROUNDUP('Гарантия (машины)'!I91/$D$4,0)*$D$8</f>
        <v>0</v>
      </c>
      <c r="V100" s="32">
        <f>ROUNDUP('Гарантия (машины)'!I91/$D$4,0)*$D$9</f>
        <v>0</v>
      </c>
      <c r="W100" s="32">
        <f>ROUNDUP('Гарантия (машины)'!I91/$D$4,0)*$D$10</f>
        <v>0</v>
      </c>
    </row>
    <row r="101">
      <c r="A101" s="31" t="n">
        <v>47969</v>
      </c>
      <c r="B101" s="32">
        <f>YEAR(A101)</f>
        <v>2031</v>
      </c>
      <c r="C101" s="32">
        <f>ROUNDUP('Гарантия (машины)'!C92/$D$4,0)*$D$5</f>
        <v>0</v>
      </c>
      <c r="D101" s="32">
        <f>ROUNDUP('Гарантия (машины)'!C92/$D$4,0)*$D$6</f>
        <v>0</v>
      </c>
      <c r="E101" s="32">
        <f>ROUNDUP('Гарантия (машины)'!C92/$D$4,0)*$D$7</f>
        <v>0</v>
      </c>
      <c r="F101" s="32">
        <f>ROUNDUP('Гарантия (машины)'!D92/$D$4,0)*$D$8</f>
        <v>0</v>
      </c>
      <c r="G101" s="32">
        <f>ROUNDUP('Гарантия (машины)'!D92/$D$4,0)*$D$9</f>
        <v>0</v>
      </c>
      <c r="H101" s="32">
        <f>ROUNDUP('Гарантия (машины)'!D92/$D$4,0)*$D$10</f>
        <v>0</v>
      </c>
      <c r="I101" s="32">
        <f>ROUNDUP('Гарантия (машины)'!E92/$D$4,0)*$D$5</f>
        <v>0</v>
      </c>
      <c r="J101" s="32">
        <f>ROUNDUP('Гарантия (машины)'!E92/$D$4,0)*$D$6</f>
        <v>0</v>
      </c>
      <c r="K101" s="32">
        <f>ROUNDUP('Гарантия (машины)'!E92/$D$4,0)*$D$7</f>
        <v>0</v>
      </c>
      <c r="L101" s="32">
        <f>ROUNDUP('Гарантия (машины)'!F92/$D$4,0)*$D$8</f>
        <v>0</v>
      </c>
      <c r="M101" s="32">
        <f>ROUNDUP('Гарантия (машины)'!F92/$D$4,0)*$D$9</f>
        <v>0</v>
      </c>
      <c r="N101" s="32">
        <f>ROUNDUP('Гарантия (машины)'!F92/$D$4,0)*$D$10</f>
        <v>0</v>
      </c>
      <c r="O101" s="32">
        <f>ROUNDUP('Гарантия (машины)'!G92/$D$4,0)*$D$5</f>
        <v>0</v>
      </c>
      <c r="P101" s="32">
        <f>ROUNDUP('Гарантия (машины)'!G92/$D$4,0)*$D$6</f>
        <v>0</v>
      </c>
      <c r="Q101" s="32">
        <f>ROUNDUP('Гарантия (машины)'!G92/$D$4,0)*$D$7</f>
        <v>0</v>
      </c>
      <c r="R101" s="32">
        <f>ROUNDUP('Гарантия (машины)'!H92/$D$4,0)*$D$8</f>
        <v>0</v>
      </c>
      <c r="S101" s="32">
        <f>ROUNDUP('Гарантия (машины)'!H92/$D$4,0)*$D$9</f>
        <v>0</v>
      </c>
      <c r="T101" s="32">
        <f>ROUNDUP('Гарантия (машины)'!H92/$D$4,0)*$D$10</f>
        <v>0</v>
      </c>
      <c r="U101" s="32">
        <f>ROUNDUP('Гарантия (машины)'!I92/$D$4,0)*$D$8</f>
        <v>0</v>
      </c>
      <c r="V101" s="32">
        <f>ROUNDUP('Гарантия (машины)'!I92/$D$4,0)*$D$9</f>
        <v>0</v>
      </c>
      <c r="W101" s="32">
        <f>ROUNDUP('Гарантия (машины)'!I92/$D$4,0)*$D$10</f>
        <v>0</v>
      </c>
    </row>
    <row r="102">
      <c r="A102" s="31" t="n">
        <v>48000</v>
      </c>
      <c r="B102" s="32">
        <f>YEAR(A102)</f>
        <v>2031</v>
      </c>
      <c r="C102" s="32">
        <f>ROUNDUP('Гарантия (машины)'!C93/$D$4,0)*$D$5</f>
        <v>0</v>
      </c>
      <c r="D102" s="32">
        <f>ROUNDUP('Гарантия (машины)'!C93/$D$4,0)*$D$6</f>
        <v>0</v>
      </c>
      <c r="E102" s="32">
        <f>ROUNDUP('Гарантия (машины)'!C93/$D$4,0)*$D$7</f>
        <v>0</v>
      </c>
      <c r="F102" s="32">
        <f>ROUNDUP('Гарантия (машины)'!D93/$D$4,0)*$D$8</f>
        <v>0</v>
      </c>
      <c r="G102" s="32">
        <f>ROUNDUP('Гарантия (машины)'!D93/$D$4,0)*$D$9</f>
        <v>0</v>
      </c>
      <c r="H102" s="32">
        <f>ROUNDUP('Гарантия (машины)'!D93/$D$4,0)*$D$10</f>
        <v>0</v>
      </c>
      <c r="I102" s="32">
        <f>ROUNDUP('Гарантия (машины)'!E93/$D$4,0)*$D$5</f>
        <v>0</v>
      </c>
      <c r="J102" s="32">
        <f>ROUNDUP('Гарантия (машины)'!E93/$D$4,0)*$D$6</f>
        <v>0</v>
      </c>
      <c r="K102" s="32">
        <f>ROUNDUP('Гарантия (машины)'!E93/$D$4,0)*$D$7</f>
        <v>0</v>
      </c>
      <c r="L102" s="32">
        <f>ROUNDUP('Гарантия (машины)'!F93/$D$4,0)*$D$8</f>
        <v>0</v>
      </c>
      <c r="M102" s="32">
        <f>ROUNDUP('Гарантия (машины)'!F93/$D$4,0)*$D$9</f>
        <v>0</v>
      </c>
      <c r="N102" s="32">
        <f>ROUNDUP('Гарантия (машины)'!F93/$D$4,0)*$D$10</f>
        <v>0</v>
      </c>
      <c r="O102" s="32">
        <f>ROUNDUP('Гарантия (машины)'!G93/$D$4,0)*$D$5</f>
        <v>0</v>
      </c>
      <c r="P102" s="32">
        <f>ROUNDUP('Гарантия (машины)'!G93/$D$4,0)*$D$6</f>
        <v>0</v>
      </c>
      <c r="Q102" s="32">
        <f>ROUNDUP('Гарантия (машины)'!G93/$D$4,0)*$D$7</f>
        <v>0</v>
      </c>
      <c r="R102" s="32">
        <f>ROUNDUP('Гарантия (машины)'!H93/$D$4,0)*$D$8</f>
        <v>0</v>
      </c>
      <c r="S102" s="32">
        <f>ROUNDUP('Гарантия (машины)'!H93/$D$4,0)*$D$9</f>
        <v>0</v>
      </c>
      <c r="T102" s="32">
        <f>ROUNDUP('Гарантия (машины)'!H93/$D$4,0)*$D$10</f>
        <v>0</v>
      </c>
      <c r="U102" s="32">
        <f>ROUNDUP('Гарантия (машины)'!I93/$D$4,0)*$D$8</f>
        <v>0</v>
      </c>
      <c r="V102" s="32">
        <f>ROUNDUP('Гарантия (машины)'!I93/$D$4,0)*$D$9</f>
        <v>0</v>
      </c>
      <c r="W102" s="32">
        <f>ROUNDUP('Гарантия (машины)'!I93/$D$4,0)*$D$10</f>
        <v>0</v>
      </c>
    </row>
    <row r="104">
      <c r="A104" s="34" t="inlineStr">
        <is>
          <t>ПИК</t>
        </is>
      </c>
      <c r="C104" s="35">
        <f>MAX(C14:C102)</f>
        <v>6</v>
      </c>
      <c r="D104" s="35">
        <f>MAX(D14:D102)</f>
        <v>12</v>
      </c>
      <c r="E104" s="35">
        <f>MAX(E14:E102)</f>
        <v>6</v>
      </c>
      <c r="F104" s="35">
        <f>MAX(F14:F102)</f>
        <v>3</v>
      </c>
      <c r="G104" s="35">
        <f>MAX(G14:G102)</f>
        <v>3</v>
      </c>
      <c r="H104" s="35">
        <f>MAX(H14:H102)</f>
        <v>6</v>
      </c>
      <c r="I104" s="35">
        <f>MAX(I14:I102)</f>
        <v>8</v>
      </c>
      <c r="J104" s="35">
        <f>MAX(J14:J102)</f>
        <v>16</v>
      </c>
      <c r="K104" s="35">
        <f>MAX(K14:K102)</f>
        <v>8</v>
      </c>
      <c r="L104" s="35">
        <f>MAX(L14:L102)</f>
        <v>1</v>
      </c>
      <c r="M104" s="35">
        <f>MAX(M14:M102)</f>
        <v>1</v>
      </c>
      <c r="N104" s="35">
        <f>MAX(N14:N102)</f>
        <v>2</v>
      </c>
      <c r="O104" s="35">
        <f>MAX(O14:O102)</f>
        <v>4</v>
      </c>
      <c r="P104" s="35">
        <f>MAX(P14:P102)</f>
        <v>8</v>
      </c>
      <c r="Q104" s="35">
        <f>MAX(Q14:Q102)</f>
        <v>4</v>
      </c>
      <c r="R104" s="35">
        <f>MAX(R14:R102)</f>
        <v>1</v>
      </c>
      <c r="S104" s="35">
        <f>MAX(S14:S102)</f>
        <v>1</v>
      </c>
      <c r="T104" s="35">
        <f>MAX(T14:T102)</f>
        <v>2</v>
      </c>
      <c r="U104" s="35">
        <f>MAX(U14:U102)</f>
        <v>3</v>
      </c>
      <c r="V104" s="35">
        <f>MAX(V14:V102)</f>
        <v>3</v>
      </c>
      <c r="W104" s="35">
        <f>MAX(W14:W102)</f>
        <v>6</v>
      </c>
    </row>
  </sheetData>
  <mergeCells count="16">
    <mergeCell ref="A10:C10"/>
    <mergeCell ref="A5:C5"/>
    <mergeCell ref="B12:B13"/>
    <mergeCell ref="A12:A13"/>
    <mergeCell ref="A2:H2"/>
    <mergeCell ref="A3:D3"/>
    <mergeCell ref="A6:C6"/>
    <mergeCell ref="A8:C8"/>
    <mergeCell ref="I12:N12"/>
    <mergeCell ref="A9:C9"/>
    <mergeCell ref="O12:T12"/>
    <mergeCell ref="A7:C7"/>
    <mergeCell ref="A1:H1"/>
    <mergeCell ref="C12:H12"/>
    <mergeCell ref="A4:C4"/>
    <mergeCell ref="U12:W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2026-07-19T18:51:00Z</dcterms:created>
  <dcterms:modified xmlns:dcterms="http://purl.org/dc/terms/" xmlns:xsi="http://www.w3.org/2001/XMLSchema-instance" xsi:type="dcterms:W3CDTF">2026-07-20T19:31:42Z</dcterms:modified>
</cp:coreProperties>
</file>